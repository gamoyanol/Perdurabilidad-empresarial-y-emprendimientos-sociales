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Info" sheetId="1" r:id="rId4"/>
    <sheet state="visible" name="Producción SE - PE" sheetId="2" r:id="rId5"/>
    <sheet state="visible" name="AnnualSciProd" sheetId="3" r:id="rId6"/>
    <sheet state="visible" name="BradfordLaw" sheetId="4" r:id="rId7"/>
    <sheet state="visible" name="MostRelSources" sheetId="5" r:id="rId8"/>
    <sheet state="visible" name="SourceLocImpact" sheetId="6" r:id="rId9"/>
    <sheet state="visible" name="AuthorLocImpact" sheetId="7" r:id="rId10"/>
    <sheet state="visible" name="ThematicMap" sheetId="8" r:id="rId11"/>
    <sheet state="visible" name="MostRelAffiliations" sheetId="9" r:id="rId12"/>
    <sheet state="visible" name="CorrAuthCountries" sheetId="10" r:id="rId13"/>
    <sheet state="visible" name="MostGlobCitDocs" sheetId="11" r:id="rId14"/>
    <sheet state="visible" name="CollabWorldMap" sheetId="12" r:id="rId15"/>
  </sheets>
  <definedNames>
    <definedName hidden="1" localSheetId="5" name="_xlnm._FilterDatabase">SourceLocImpact!$A$1:$Z$226</definedName>
    <definedName hidden="1" localSheetId="6" name="_xlnm._FilterDatabase">AuthorLocImpact!$A$1:$Z$1045</definedName>
    <definedName hidden="1" localSheetId="8" name="_xlnm._FilterDatabase">MostRelAffiliations!$A$1:$B$1000</definedName>
    <definedName hidden="1" localSheetId="9" name="_xlnm._FilterDatabase">CorrAuthCountries!$A$1:$Z$67</definedName>
    <definedName hidden="1" localSheetId="11" name="_xlnm._FilterDatabase">CollabWorldMap!$A$1:$Z$110</definedName>
  </definedNames>
  <calcPr/>
  <extLst>
    <ext uri="GoogleSheetsCustomDataVersion2">
      <go:sheetsCustomData xmlns:go="http://customooxmlschemas.google.com/" r:id="rId16" roundtripDataChecksum="omYxXX3m93rpshCJdxW81SfKC9AEa90qio46WXD9n2c="/>
    </ext>
  </extLst>
</workbook>
</file>

<file path=xl/sharedStrings.xml><?xml version="1.0" encoding="utf-8"?>
<sst xmlns="http://schemas.openxmlformats.org/spreadsheetml/2006/main" count="7188" uniqueCount="4603">
  <si>
    <t>Description</t>
  </si>
  <si>
    <t>Results</t>
  </si>
  <si>
    <t>MAIN INFORMATION ABOUT DATA</t>
  </si>
  <si>
    <t/>
  </si>
  <si>
    <t>Timespan</t>
  </si>
  <si>
    <t>2002:2025</t>
  </si>
  <si>
    <t>Sources (Journals, Books, etc)</t>
  </si>
  <si>
    <t>275</t>
  </si>
  <si>
    <t>Documents</t>
  </si>
  <si>
    <t>Annual Growth Rate %</t>
  </si>
  <si>
    <t>0</t>
  </si>
  <si>
    <t>Document Average Age</t>
  </si>
  <si>
    <t>4.03</t>
  </si>
  <si>
    <t>Average citations per doc</t>
  </si>
  <si>
    <t>9.838</t>
  </si>
  <si>
    <t>References</t>
  </si>
  <si>
    <t>DOCUMENT CONTENTS</t>
  </si>
  <si>
    <t>Keywords Plus (ID)</t>
  </si>
  <si>
    <t>1305</t>
  </si>
  <si>
    <t>Author's Keywords (DE)</t>
  </si>
  <si>
    <t>1391</t>
  </si>
  <si>
    <t>AUTHORS</t>
  </si>
  <si>
    <t>Authors</t>
  </si>
  <si>
    <t>1390</t>
  </si>
  <si>
    <t>Authors of single-authored docs</t>
  </si>
  <si>
    <t>51</t>
  </si>
  <si>
    <t>AUTHORS COLLABORATION</t>
  </si>
  <si>
    <t>Single-authored docs</t>
  </si>
  <si>
    <t>55</t>
  </si>
  <si>
    <t>Co-Authors per Doc</t>
  </si>
  <si>
    <t>3.35</t>
  </si>
  <si>
    <t>International co-authorships %</t>
  </si>
  <si>
    <t>13.36</t>
  </si>
  <si>
    <t>DOCUMENT TYPES</t>
  </si>
  <si>
    <t>article</t>
  </si>
  <si>
    <t>360</t>
  </si>
  <si>
    <t>article; early access</t>
  </si>
  <si>
    <t>4</t>
  </si>
  <si>
    <t>article; proceedings paper</t>
  </si>
  <si>
    <t>1</t>
  </si>
  <si>
    <t>book chapter</t>
  </si>
  <si>
    <t>6</t>
  </si>
  <si>
    <t>book review</t>
  </si>
  <si>
    <t>conference paper</t>
  </si>
  <si>
    <t>63</t>
  </si>
  <si>
    <t>correction</t>
  </si>
  <si>
    <t>2</t>
  </si>
  <si>
    <t>editorial</t>
  </si>
  <si>
    <t>editorial material</t>
  </si>
  <si>
    <t>review</t>
  </si>
  <si>
    <t>23</t>
  </si>
  <si>
    <t>Year</t>
  </si>
  <si>
    <t>SE</t>
  </si>
  <si>
    <t>CP</t>
  </si>
  <si>
    <t>Articles</t>
  </si>
  <si>
    <t>Publicaciones ultimos 7 años</t>
  </si>
  <si>
    <t>Tasa de crecimiento anual</t>
  </si>
  <si>
    <t>SO</t>
  </si>
  <si>
    <t>Rank</t>
  </si>
  <si>
    <t>Freq</t>
  </si>
  <si>
    <t>cumFreq</t>
  </si>
  <si>
    <t>Zone</t>
  </si>
  <si>
    <t>SUSTAINABILITY</t>
  </si>
  <si>
    <t>Zone 1</t>
  </si>
  <si>
    <t>JOURNAL OF DISASTER RESEARCH</t>
  </si>
  <si>
    <t>IOP CONFERENCE SERIES: EARTH AND ENVIRONMENTAL SCIENCE</t>
  </si>
  <si>
    <t>AIJ JOURNAL OF TECHNOLOGY AND DESIGN</t>
  </si>
  <si>
    <t>COGENT BUSINESS &amp; MANAGEMENT</t>
  </si>
  <si>
    <t>E3S WEB OF CONFERENCES</t>
  </si>
  <si>
    <t>BUSINESS STRATEGY AND THE ENVIRONMENT</t>
  </si>
  <si>
    <t>PROCEDIA COMPUTER SCIENCE</t>
  </si>
  <si>
    <t>REVISTA DE GESTAO SOCIAL E AMBIENTAL</t>
  </si>
  <si>
    <t>IFAC-PAPERSONLINE</t>
  </si>
  <si>
    <t>SAGE OPEN</t>
  </si>
  <si>
    <t>HELIYON</t>
  </si>
  <si>
    <t>INTERNATIONAL JOURNAL OF DISASTER RISK REDUCTION</t>
  </si>
  <si>
    <t>INTERNATIONAL JOURNAL OF ENVIRONMENTAL RESEARCH AND PUBLIC HEALTH</t>
  </si>
  <si>
    <t>INTERNATIONAL JOURNAL OF SUSTAINABLE DEVELOPMENT AND PLANNING</t>
  </si>
  <si>
    <t>IOP CONFERENCE SERIES: MATERIALS SCIENCE AND ENGINEERING</t>
  </si>
  <si>
    <t>JOURNAL OF BUSINESS RESEARCH</t>
  </si>
  <si>
    <t>JOURNAL OF CLEANER PRODUCTION</t>
  </si>
  <si>
    <t>JOURNAL OF CONTINGENCIES AND CRISIS MANAGEMENT</t>
  </si>
  <si>
    <t>Zone 2</t>
  </si>
  <si>
    <t>JOURNAL OF INDUSTRIAL ENGINEERING AND MANAGEMENT-JIEM</t>
  </si>
  <si>
    <t>JOURNAL OF OPEN INNOVATION: TECHNOLOGY, MARKET, AND COMPLEXITY</t>
  </si>
  <si>
    <t>JOURNAL OF SYSTEM AND MANAGEMENT SCIENCES</t>
  </si>
  <si>
    <t>QUALITY-ACCESS TO SUCCESS</t>
  </si>
  <si>
    <t>REVISTA VENEZOLANA DE GERENCIA</t>
  </si>
  <si>
    <t>UNCERTAIN SUPPLY CHAIN MANAGEMENT</t>
  </si>
  <si>
    <t>ACTA BIOETHICA</t>
  </si>
  <si>
    <t>AMFITEATRU ECONOMIC</t>
  </si>
  <si>
    <t>BUSINESS: THEORY AND PRACTICE</t>
  </si>
  <si>
    <t>COGENT ECONOMICS &amp; FINANCE</t>
  </si>
  <si>
    <t>CORPORATE SOCIAL RESPONSIBILITY AND ENVIRONMENTAL MANAGEMENT</t>
  </si>
  <si>
    <t>DEVELOPMENTS IN MARKETING SCIENCE: PROCEEDINGS OF THE ACADEMY OF MARKETING SCIENCE</t>
  </si>
  <si>
    <t>E &amp; M EKONOMIE A MANAGEMENT</t>
  </si>
  <si>
    <t>ECONOMIC RESEARCH-EKONOMSKA ISTRAZIVANJA</t>
  </si>
  <si>
    <t>ECONOMICS - INNOVATIVE AND ECONOMICS RESEARCH JOURNAL</t>
  </si>
  <si>
    <t>GREEN FINANCE</t>
  </si>
  <si>
    <t>HUMANITIES AND SOCIAL SCIENCES LETTERS</t>
  </si>
  <si>
    <t>IEEE ACCESS</t>
  </si>
  <si>
    <t>IFIP ADVANCES IN INFORMATION AND COMMUNICATION TECHNOLOGY</t>
  </si>
  <si>
    <t>INDUSTRIA TEXTILA</t>
  </si>
  <si>
    <t>INDUSTRIAL MARKETING MANAGEMENT</t>
  </si>
  <si>
    <t>INTERNATIONAL JOURNAL OF DISASTER RISK SCIENCE</t>
  </si>
  <si>
    <t>INTERNATIONAL JOURNAL OF FINANCIAL STUDIES</t>
  </si>
  <si>
    <t>INTERNATIONAL JOURNAL OF MANAGEMENT AND SUSTAINABILITY</t>
  </si>
  <si>
    <t>INTERNATIONAL JOURNAL OF SUSTAINABILITY IN HIGHER EDUCATION</t>
  </si>
  <si>
    <t>JOURNAL OF DIGITAL IMAGING</t>
  </si>
  <si>
    <t>JOURNAL OF ENVIRONMENTAL ENGINEERING (JAPAN)</t>
  </si>
  <si>
    <t>JOURNAL OF INFRASTRUCTURE, POLICY AND DEVELOPMENT</t>
  </si>
  <si>
    <t>JOURNAL OF KONBIN</t>
  </si>
  <si>
    <t>JOURNAL OF SOCIAL SCIENCES RESEARCH</t>
  </si>
  <si>
    <t>JURNAL TEKNOLOGI</t>
  </si>
  <si>
    <t>LECTURE NOTES IN COMPUTER SCIENCE (INCLUDING SUBSERIES LECTURE NOTES IN ARTIFICIAL INTELLIGENCE AND LECTURE NOTES IN BIOINFORMATICS)</t>
  </si>
  <si>
    <t>MANAGEMENT AND MARKETING</t>
  </si>
  <si>
    <t>MATEC WEB OF CONFERENCES</t>
  </si>
  <si>
    <t>MATHEMATICAL PROBLEMS IN ENGINEERING</t>
  </si>
  <si>
    <t>MATHEMATICS</t>
  </si>
  <si>
    <t>PLOS ONE</t>
  </si>
  <si>
    <t>PROBLEMS AND PERSPECTIVES IN MANAGEMENT</t>
  </si>
  <si>
    <t>PROCEDIA ENGINEERING</t>
  </si>
  <si>
    <t>PROCEEDINGS OF THE ANNUAL HAWAII INTERNATIONAL CONFERENCE ON SYSTEM SCIENCES</t>
  </si>
  <si>
    <t>PROGRESS IN DISASTER SCIENCE</t>
  </si>
  <si>
    <t>SUSTAINABLE FUTURES</t>
  </si>
  <si>
    <t>TEM JOURNAL-TECHNOLOGY EDUCATION MANAGEMENT INFORMATICS</t>
  </si>
  <si>
    <t>1ST INTERNATIONAL CONFERENCE ON COMPUTER APPLICATIONS AND INFORMATION SECURITY, ICCAIS 2018</t>
  </si>
  <si>
    <t>2018 INTERNATIONAL CONFERENCE ON INFORMATION TECHNOLOGY SYSTEMS AND INNOVATION, ICITSI 2018 - PROCEEDINGS</t>
  </si>
  <si>
    <t>3RD IEEE/IFIP INTERNATIONAL WORKSHOP ON BUSINESS-DRIVEN IT MANAGEMENT, BDIM 2008</t>
  </si>
  <si>
    <t>ACTA UNIVERSITATIS AGRICULTURAE ET SILVICULTURAE MENDELIANAE BRUNENSIS</t>
  </si>
  <si>
    <t>AD-MINISTER</t>
  </si>
  <si>
    <t>ADVANCES IN SCIENCE, TECHNOLOGY AND ENGINEERING SYSTEMS</t>
  </si>
  <si>
    <t>AFRICAN JOURNAL OF APPLIED RESEARCH</t>
  </si>
  <si>
    <t>AGRICULTURAL ECONOMICS-ZEMEDELSKA EKONOMIKA</t>
  </si>
  <si>
    <t>AIP CONFERENCE PROCEEDINGS</t>
  </si>
  <si>
    <t>ALTERNATIVE-AN INTERNATIONAL JOURNAL OF INDIGENOUS PEOPLES</t>
  </si>
  <si>
    <t>ANNALS OF GEOPHYSICS</t>
  </si>
  <si>
    <t>ANNALS OF OPERATIONS RESEARCH</t>
  </si>
  <si>
    <t>APPLIED SCIENCES-BASEL</t>
  </si>
  <si>
    <t>APPLIED SYSTEM INNOVATION</t>
  </si>
  <si>
    <t>ASIA PACIFIC JOURNAL OF INNOVATION AND ENTREPRENEURSHIP</t>
  </si>
  <si>
    <t>ASIA PACIFIC JOURNAL OF MARKETING AND LOGISTICS</t>
  </si>
  <si>
    <t>ASIAN JOURNAL OF SHIPPING AND LOGISTICS</t>
  </si>
  <si>
    <t>ASIAN SOCIAL SCIENCE</t>
  </si>
  <si>
    <t>AUSTRALASIAN ACCOUNTING, BUSINESS AND FINANCE JOURNAL</t>
  </si>
  <si>
    <t>AUSTRALIAN HEALTH REVIEW</t>
  </si>
  <si>
    <t>BIOLOGY OF BLOOD AND MARROW TRANSPLANTATION</t>
  </si>
  <si>
    <t>BMC HEALTH SERVICES RESEARCH</t>
  </si>
  <si>
    <t>BONE &amp; JOINT OPEN</t>
  </si>
  <si>
    <t>BUSINESS AND SOCIETY REVIEW</t>
  </si>
  <si>
    <t>BUSINESS HISTORY</t>
  </si>
  <si>
    <t>BUSINESS HORIZONS</t>
  </si>
  <si>
    <t>CARDIOMETRY</t>
  </si>
  <si>
    <t>CHALLENGES TO NATIONAL DEFENCE IN CONTEMPORARY GEOPOLITICAL SITUATION</t>
  </si>
  <si>
    <t>CLEANER LOGISTICS AND SUPPLY CHAIN</t>
  </si>
  <si>
    <t>COGENT FOOD AND AGRICULTURE</t>
  </si>
  <si>
    <t>COGENT SOCIAL SCIENCES</t>
  </si>
  <si>
    <t>COMMUNICATIONS OF THE ASSOCIATION FOR INFORMATION SYSTEMS</t>
  </si>
  <si>
    <t>COMPUTER SCIENCE AND INFORMATION SYSTEMS</t>
  </si>
  <si>
    <t>CONFERENCE PROCEEDINGS - IEEE INTERNATIONAL CONFERENCE ON SYSTEMS, MAN AND CYBERNETICS</t>
  </si>
  <si>
    <t>CONTADURIA UNIVERSIDAD DE ANTIOQUIA</t>
  </si>
  <si>
    <t>CONTEXTUALIZING ENTREPRENEURSHIP IN EMERGING ECONOMIES AND DEVELOPING COUNTRIES</t>
  </si>
  <si>
    <t>CUADERNOS DE ADMINISTRACION-UNIVERSIDAD DEL VALLE</t>
  </si>
  <si>
    <t>CURRENT ISSUES IN TOURISM</t>
  </si>
  <si>
    <t>DATA AND METADATA</t>
  </si>
  <si>
    <t>DISASTER MEDICINE AND PUBLIC HEALTH PREPAREDNESS</t>
  </si>
  <si>
    <t>DISASTERS</t>
  </si>
  <si>
    <t>DISCOVER SUSTAINABILITY</t>
  </si>
  <si>
    <t>DYNA (COLOMBIA)</t>
  </si>
  <si>
    <t>DYNAMIC RELATIONSHIPS MANAGEMENT JOURNAL</t>
  </si>
  <si>
    <t>ECONOMIC COMPUTATION AND ECONOMIC CYBERNETICS STUDIES AND RESEARCH</t>
  </si>
  <si>
    <t>ECONOMICS &amp; SOCIOLOGY</t>
  </si>
  <si>
    <t>EDELWEISS APPLIED SCIENCE AND TECHNOLOGY</t>
  </si>
  <si>
    <t>EKONOMIA I SRODOWISKO-ECONOMICS AND ENVIRONMENT</t>
  </si>
  <si>
    <t>EKONOMICKY CASOPIS</t>
  </si>
  <si>
    <t>EKONOMSKI PREGLED</t>
  </si>
  <si>
    <t>ENERGIES</t>
  </si>
  <si>
    <t>ENERGY REPORTS</t>
  </si>
  <si>
    <t>ENGINEERING ECONOMICS</t>
  </si>
  <si>
    <t>ENTREPRENEURIAL BUSINESS AND ECONOMICS REVIEW</t>
  </si>
  <si>
    <t>ENTREPRENEURSHIP AND SUSTAINABILITY ISSUES</t>
  </si>
  <si>
    <t>ENVIRONMENTAL AND SUSTAINABILITY INDICATORS</t>
  </si>
  <si>
    <t>ENVIRONMENTAL SCIENCE AND POLLUTION RESEARCH</t>
  </si>
  <si>
    <t>ESTUDIOS GERENCIALES</t>
  </si>
  <si>
    <t>EUROPEAN JOURNAL OF OPERATIONAL RESEARCH</t>
  </si>
  <si>
    <t>FAMILY &amp; CONSUMER SCIENCES RESEARCH JOURNAL</t>
  </si>
  <si>
    <t>FAMILY BUSINESS REVIEW</t>
  </si>
  <si>
    <t>Zone 3</t>
  </si>
  <si>
    <t>FEMALE ENTREPRENEURSHIP IN TRANSITION ECONOMIES: TRENDS AND CHALLENGES</t>
  </si>
  <si>
    <t>FINANCIAL INTERNET QUARTERLY</t>
  </si>
  <si>
    <t>FME TRANSACTIONS</t>
  </si>
  <si>
    <t>FOUNDATIONS OF MANAGEMENT</t>
  </si>
  <si>
    <t>FRONTIERS IN ARTIFICIAL INTELLIGENCE AND APPLICATIONS</t>
  </si>
  <si>
    <t>FRONTIERS IN PSYCHOLOGY</t>
  </si>
  <si>
    <t>FRONTIERS IN SUSTAINABLE CITIES</t>
  </si>
  <si>
    <t>FUTURE BUSINESS JOURNAL</t>
  </si>
  <si>
    <t>GEOJOURNAL OF TOURISM AND GEOSITES</t>
  </si>
  <si>
    <t>GESTAO E DESENVOLVIMENTO</t>
  </si>
  <si>
    <t>IEEE ENGINEERING MANAGEMENT REVIEW</t>
  </si>
  <si>
    <t>INDUSTRIAL MANAGEMENT AND DATA SYSTEMS</t>
  </si>
  <si>
    <t>INFORMACION TECNOLOGICA</t>
  </si>
  <si>
    <t>INFORMATION</t>
  </si>
  <si>
    <t>INFORMATION MANAGEMENT AND COMPUTER SECURITY</t>
  </si>
  <si>
    <t>INFORMATION SECURITY JOURNAL</t>
  </si>
  <si>
    <t>INFORMATION SYSTEMS FRONTIERS</t>
  </si>
  <si>
    <t>INNOVAR</t>
  </si>
  <si>
    <t>INNOVATIVE MARKETING</t>
  </si>
  <si>
    <t>INTANGIBLE CAPITAL</t>
  </si>
  <si>
    <t>INTERNATIONAL CONFERENCE ON ENTERPRISE INFORMATION SYSTEMS, ICEIS - PROCEEDINGS</t>
  </si>
  <si>
    <t>INTERNATIONAL JOURNAL FOR QUALITY RESEARCH</t>
  </si>
  <si>
    <t>INTERNATIONAL JOURNAL OF ADVANCED AND APPLIED SCIENCES</t>
  </si>
  <si>
    <t>INTERNATIONAL JOURNAL OF ASIAN BUSINESS AND INFORMATION MANAGEMENT</t>
  </si>
  <si>
    <t>INTERNATIONAL JOURNAL OF BUSINESS CONTINUITY AND RISK MANAGEMENT</t>
  </si>
  <si>
    <t>INTERNATIONAL JOURNAL OF DATA AND NETWORK SCIENCE</t>
  </si>
  <si>
    <t>INTERNATIONAL JOURNAL OF ECONOMIC POLICY IN EMERGING ECONOMIES</t>
  </si>
  <si>
    <t>INTERNATIONAL JOURNAL OF ECONOMICS AND BUSINESS ADMINISTRATION</t>
  </si>
  <si>
    <t>INTERNATIONAL JOURNAL OF EMERGING TRENDS IN ENGINEERING RESEARCH</t>
  </si>
  <si>
    <t>INTERNATIONAL JOURNAL OF ENGINEERING AND ADVANCED TECHNOLOGY</t>
  </si>
  <si>
    <t>INTERNATIONAL JOURNAL OF ENGINEERING AND TECHNOLOGY(UAE)</t>
  </si>
  <si>
    <t>INTERNATIONAL JOURNAL OF HIGHER EDUCATION</t>
  </si>
  <si>
    <t>INTERNATIONAL JOURNAL OF INDUSTRIAL ENGINEERING AND MANAGEMENT</t>
  </si>
  <si>
    <t>INTERNATIONAL JOURNAL OF INFORMATION MANAGEMENT</t>
  </si>
  <si>
    <t>INTERNATIONAL JOURNAL OF INNOVATION STUDIES</t>
  </si>
  <si>
    <t>INTERNATIONAL JOURNAL OF PROCUREMENT MANAGEMENT</t>
  </si>
  <si>
    <t>INTERNATIONAL JOURNAL OF PRODUCTION ECONOMICS</t>
  </si>
  <si>
    <t>INTERNATIONAL JOURNAL OF PROFESSIONAL BUSINESS REVIEW</t>
  </si>
  <si>
    <t>INTERNATIONAL JOURNAL OF QUALITY AND RELIABILITY MANAGEMENT</t>
  </si>
  <si>
    <t>INTERNATIONAL JOURNAL OF SAFETY AND SECURITY ENGINEERING</t>
  </si>
  <si>
    <t>INTERNATIONAL JOURNAL OF SERVICES AND OPERATIONS MANAGEMENT</t>
  </si>
  <si>
    <t>INTERNATIONAL JOURNAL OF SIMULATION MODELLING</t>
  </si>
  <si>
    <t>INTERNATIONAL JOURNAL OF SOCIAL ECONOMICS</t>
  </si>
  <si>
    <t>INTERNATIONAL JOURNAL ON ELECTRICAL ENGINEERING AND INFORMATICS</t>
  </si>
  <si>
    <t>ISSUES IN INFORMATION SYSTEMS</t>
  </si>
  <si>
    <t>JAMBA-JOURNAL OF DISASTER RISK STUDIES</t>
  </si>
  <si>
    <t>JBJS OPEN ACCESS</t>
  </si>
  <si>
    <t>JOURNAL OF ADVANCED COMPUTATIONAL INTELLIGENCE AND INTELLIGENT INFORMATICS</t>
  </si>
  <si>
    <t>JOURNAL OF ADVANCED RESEARCH IN APPLIED SCIENCES AND ENGINEERING TECHNOLOGY</t>
  </si>
  <si>
    <t>JOURNAL OF AGRICULTURAL AND APPLIED ECONOMICS</t>
  </si>
  <si>
    <t>JOURNAL OF ASIAN ARCHITECTURE AND BUILDING ENGINEERING</t>
  </si>
  <si>
    <t>JOURNAL OF ASIAN BUSINESS AND ECONOMIC STUDIES</t>
  </si>
  <si>
    <t>JOURNAL OF ASIAN FINANCE ECONOMICS AND BUSINESS</t>
  </si>
  <si>
    <t>JOURNAL OF ASIAN SCIENTIFIC RESEARCH</t>
  </si>
  <si>
    <t>JOURNAL OF BUSINESS &amp; INDUSTRIAL MARKETING</t>
  </si>
  <si>
    <t>JOURNAL OF BUSINESS COMMUNICATION</t>
  </si>
  <si>
    <t>JOURNAL OF BUSINESS ECONOMICS AND MANAGEMENT</t>
  </si>
  <si>
    <t>JOURNAL OF COMPUTER SCIENCE</t>
  </si>
  <si>
    <t>JOURNAL OF DIRECT, DATA AND DIGITAL MARKETING PRACTICE</t>
  </si>
  <si>
    <t>JOURNAL OF EASTERN EUROPEAN AND CENTRAL ASIAN RESEARCH</t>
  </si>
  <si>
    <t>JOURNAL OF FAMILY BUSINESS STRATEGY</t>
  </si>
  <si>
    <t>JOURNAL OF GENERAL MANAGEMENT</t>
  </si>
  <si>
    <t>JOURNAL OF GLOBAL INFORMATION MANAGEMENT</t>
  </si>
  <si>
    <t>JOURNAL OF INDUSTRIAL ECOLOGY</t>
  </si>
  <si>
    <t>JOURNAL OF INFORMATION TECHNOLOGY RESEARCH</t>
  </si>
  <si>
    <t>JOURNAL OF INFORMATION TECHNOLOGY TEACHING CASES</t>
  </si>
  <si>
    <t>JOURNAL OF LAW AND SUSTAINABLE DEVELOPMENT</t>
  </si>
  <si>
    <t>JOURNAL OF MARKETING EDUCATION</t>
  </si>
  <si>
    <t>JOURNAL OF ORGANIZATIONAL EFFECTIVENESS</t>
  </si>
  <si>
    <t>JOURNAL OF ORGANIZATIONAL EXCELLENCE</t>
  </si>
  <si>
    <t>JOURNAL OF SMALL BUSINESS STRATEGY</t>
  </si>
  <si>
    <t>JOURNAL OF STRUCTURAL AND CONSTRUCTION ENGINEERING</t>
  </si>
  <si>
    <t>JOURNAL OF THE ASSOCIATION FOR INFORMATION SYSTEMS</t>
  </si>
  <si>
    <t>JOURNAL OF THE INDONESIAN TROPICAL ANIMAL AGRICULTURE</t>
  </si>
  <si>
    <t>JOURNAL OF THE OPERATIONAL RESEARCH SOCIETY</t>
  </si>
  <si>
    <t>KOREAN CHEMICAL ENGINEERING RESEARCH</t>
  </si>
  <si>
    <t>LOGISTICS-BASEL</t>
  </si>
  <si>
    <t>MANAGEMENT (CROATIA)</t>
  </si>
  <si>
    <t>MANAGEMENT AND SUSTAINABILITY</t>
  </si>
  <si>
    <t>MANAGEMENT TEACHING REVIEW</t>
  </si>
  <si>
    <t>MANAGING SPORT AND LEISURE</t>
  </si>
  <si>
    <t>MEDITERRANEAN JOURNAL OF SOCIAL SCIENCES</t>
  </si>
  <si>
    <t>NEW SOUTH WALES PUBLIC HEALTH BULLETIN</t>
  </si>
  <si>
    <t>NURTURE</t>
  </si>
  <si>
    <t>OPEN AGRICULTURE</t>
  </si>
  <si>
    <t>OPERATIONS AND SUPPLY CHAIN MANAGEMENT</t>
  </si>
  <si>
    <t>OPERATIONS RESEARCH AND DECISIONS</t>
  </si>
  <si>
    <t>ORGANIZATION &amp; ENVIRONMENT</t>
  </si>
  <si>
    <t>PAPER ASIA</t>
  </si>
  <si>
    <t>PERTANIKA JOURNAL OF SOCIAL SCIENCE AND HUMANITIES</t>
  </si>
  <si>
    <t>POLITICKA EKONOMIE</t>
  </si>
  <si>
    <t>PROBLEMY EKOROZWOJU</t>
  </si>
  <si>
    <t>PROCEDIA CIRP</t>
  </si>
  <si>
    <t>PROCEDIA MANUFACTURING</t>
  </si>
  <si>
    <t>PROCEEDINGS - 2018 3RD INTERNATIONAL CONFERENCE ON SYSTEM RELIABILITY AND SAFETY, ICSRS 2018</t>
  </si>
  <si>
    <t>PROCEEDINGS - IEEE INTERNATIONAL ENTERPRISE DISTRIBUTED OBJECT COMPUTING WORKSHOP, EDOC</t>
  </si>
  <si>
    <t>PROCEEDINGS OF THE 2017 4TH INTERNATIONAL CONFERENCE ON COMPUTER APPLICATIONS AND INFORMATION PROCESSING TECHNOLOGY, CAIPT 2017</t>
  </si>
  <si>
    <t>PROCEEDINGS OF THE INTERNATIONAL ASSOCIATION OF HYDROLOGICAL SCIENCES</t>
  </si>
  <si>
    <t>PROCEEDINGS OF THE WORLD CONGRESS ON MECHANICAL, CHEMICAL, AND MATERIAL ENGINEERING</t>
  </si>
  <si>
    <t>PROCEEDINGS ON ENGINEERING SCIENCES</t>
  </si>
  <si>
    <t>PROCESS SAFETY AND ENVIRONMENTAL PROTECTION</t>
  </si>
  <si>
    <t>PROCESS SAFETY PROGRESS</t>
  </si>
  <si>
    <t>PUBLIC ORGANIZATION REVIEW</t>
  </si>
  <si>
    <t>QUALITY - ACCESS TO SUCCESS</t>
  </si>
  <si>
    <t>QUALITY AND RELIABILITY ENGINEERING INTERNATIONAL</t>
  </si>
  <si>
    <t>QUALITY INNOVATION PROSPERITY-KVALITA INOVACIA PROSPERITA</t>
  </si>
  <si>
    <t>R &amp; D MANAGEMENT</t>
  </si>
  <si>
    <t>RELIABILITY ENGINEERING &amp; SYSTEM SAFETY</t>
  </si>
  <si>
    <t>RESEARCH ANTHOLOGY ON BUSINESS CONTINUITY AND NAVIGATING TIMES OF CRISIS</t>
  </si>
  <si>
    <t>RESEARCH IN COMPETENCE-BASED MANAGEMENT</t>
  </si>
  <si>
    <t>RESOURCES-BASEL</t>
  </si>
  <si>
    <t>RESULTS IN ENGINEERING</t>
  </si>
  <si>
    <t>REVIEW OF INTERNATIONAL STUDIES</t>
  </si>
  <si>
    <t>REVISTA DE ADMINISTRACAO MACKENZIE</t>
  </si>
  <si>
    <t>REVISTA DE GESTAO E SECRETARIADO-GESEC</t>
  </si>
  <si>
    <t>REVISTA EVIDENCIACAO CONTABIL &amp; FINANCAS</t>
  </si>
  <si>
    <t>REVISTA GEDECON REVISTA GESTAO E DESENVOLVIMENTO EM CONTEXTO</t>
  </si>
  <si>
    <t>REVISTA GESTAO &amp; TECNOLOGIA-JOURNAL OF MANAGEMENT AND TECHNOLOGY</t>
  </si>
  <si>
    <t>REVISTA PERSPECTIVA EMPRESARIAL</t>
  </si>
  <si>
    <t>RIGAKURYOHO KAGAKU</t>
  </si>
  <si>
    <t>RISK ANALYSIS</t>
  </si>
  <si>
    <t>RISK MANAGEMENT AND HEALTHCARE POLICY</t>
  </si>
  <si>
    <t>RISKS</t>
  </si>
  <si>
    <t>SAFETY AND RELIABILITY - THEORY AND APPLICATIONS - PROCEEDINGS OF THE 27TH EUROPEAN SAFETY AND RELIABILITY CONFERENCE, ESREL 2017</t>
  </si>
  <si>
    <t>SAFETY SCIENCE</t>
  </si>
  <si>
    <t>SALUD, CIENCIA Y TECNOLOGIA</t>
  </si>
  <si>
    <t>SANGYO EISEIGAKU ZASSHI = JOURNAL OF OCCUPATIONAL HEALTH</t>
  </si>
  <si>
    <t>SCIENTIFIC JOURNAL OF SILESIAN UNIVERSITY OF TECHNOLOGY-SERIES TRANSPORT</t>
  </si>
  <si>
    <t>SECOND INTERNATIONAL CONFERENCE ON INTERNET MONITORING AND PROTECTION, ICIMP 2007</t>
  </si>
  <si>
    <t>SERBIAN JOURNAL OF MANAGEMENT</t>
  </si>
  <si>
    <t>SOUTH AFRICAN JOURNAL OF BUSINESS MANAGEMENT</t>
  </si>
  <si>
    <t>SOUTH AFRICAN JOURNAL OF SPORTS MEDICINE</t>
  </si>
  <si>
    <t>SOUTH EAST ASIAN JOURNAL OF MANAGEMENT</t>
  </si>
  <si>
    <t>STRATEGIC MANAGEMENT JOURNAL</t>
  </si>
  <si>
    <t>STRATEGIC ORGANIZATION</t>
  </si>
  <si>
    <t>STUDIES IN BUSINESS AND ECONOMICS</t>
  </si>
  <si>
    <t>SUPPLY CHAIN MANAGEMENT-AN INTERNATIONAL JOURNAL</t>
  </si>
  <si>
    <t>SUSTAINABILITY IN HOSPITALITY: HOW INNOVATIVE HOTELS ARE TRANSFORMING THE INDUSTRY</t>
  </si>
  <si>
    <t>SYSTEMY LOGISTYCZNE WOJSK</t>
  </si>
  <si>
    <t>TECHNOLOGICAL FORECASTING AND SOCIAL CHANGE</t>
  </si>
  <si>
    <t>TIC-STH'09: 2009 IEEE TORONTO INTERNATIONAL CONFERENCE - SCIENCE AND TECHNOLOGY FOR HUMANITY</t>
  </si>
  <si>
    <t>TOHOKU JOURNAL OF EXPERIMENTAL MEDICINE</t>
  </si>
  <si>
    <t>TOURISM ANALYSIS</t>
  </si>
  <si>
    <t>TOURISM AND HOSPITALITY RESEARCH</t>
  </si>
  <si>
    <t>TQM JOURNAL</t>
  </si>
  <si>
    <t>TRANSPORTATION RESEARCH PROCEDIA</t>
  </si>
  <si>
    <t>TRANSPORTATION RESEARCH RECORD</t>
  </si>
  <si>
    <t>VIKALPA</t>
  </si>
  <si>
    <t>WORLD CONSTRUCTION SYMPOSIUM</t>
  </si>
  <si>
    <t>WORLD DEVELOPMENT SUSTAINABILITY</t>
  </si>
  <si>
    <t>WSEAS TRANSACTIONS ON ENVIRONMENT AND DEVELOPMENT</t>
  </si>
  <si>
    <t>ZBORNIK RADOVA EKONOMSKOG FAKULTETA U RIJECI-PROCEEDINGS OF RIJEKA FACULTY OF ECONOMICS</t>
  </si>
  <si>
    <t>Sources</t>
  </si>
  <si>
    <t>Source</t>
  </si>
  <si>
    <t>h_index</t>
  </si>
  <si>
    <t>g_index</t>
  </si>
  <si>
    <t>m_index</t>
  </si>
  <si>
    <t>TC</t>
  </si>
  <si>
    <t>NP</t>
  </si>
  <si>
    <t>PY_start</t>
  </si>
  <si>
    <t>Author</t>
  </si>
  <si>
    <t>WATANABE K</t>
  </si>
  <si>
    <t>SVENSSON G</t>
  </si>
  <si>
    <t>LEELAWAT N</t>
  </si>
  <si>
    <t>TANG J</t>
  </si>
  <si>
    <t>ZENG Z</t>
  </si>
  <si>
    <t>ZIO E</t>
  </si>
  <si>
    <t>KODAKA A</t>
  </si>
  <si>
    <t>MEECHANG K</t>
  </si>
  <si>
    <t>PEREIRA R</t>
  </si>
  <si>
    <t>REIS L</t>
  </si>
  <si>
    <t>RUSSO N</t>
  </si>
  <si>
    <t>UTAMA D</t>
  </si>
  <si>
    <t>INO E</t>
  </si>
  <si>
    <t>JÄRVELÄINEN J</t>
  </si>
  <si>
    <t>NIEMIMAA M</t>
  </si>
  <si>
    <t>PARK J</t>
  </si>
  <si>
    <t>KUMAR A</t>
  </si>
  <si>
    <t>MAMEDE H</t>
  </si>
  <si>
    <t>MARUYA H</t>
  </si>
  <si>
    <t>BRÁS J</t>
  </si>
  <si>
    <t>ONO T</t>
  </si>
  <si>
    <t>YAMAGISHI K</t>
  </si>
  <si>
    <t>ALQERSHI N</t>
  </si>
  <si>
    <t>ASIM S</t>
  </si>
  <si>
    <t>BAJGORIC N</t>
  </si>
  <si>
    <t>BERNAL-TORRES C</t>
  </si>
  <si>
    <t>BHUTTO M</t>
  </si>
  <si>
    <t>CHINTANAPAKDEE C</t>
  </si>
  <si>
    <t>EMBLEN-PERRY K</t>
  </si>
  <si>
    <t>GOH S</t>
  </si>
  <si>
    <t>GROSS-GOLACKA E</t>
  </si>
  <si>
    <t>GUPTA S</t>
  </si>
  <si>
    <t>HAMID A</t>
  </si>
  <si>
    <t>HAMSAL M</t>
  </si>
  <si>
    <t>HEIKKILÄ M</t>
  </si>
  <si>
    <t>HOWE T</t>
  </si>
  <si>
    <t>HU J</t>
  </si>
  <si>
    <t>HU T</t>
  </si>
  <si>
    <t>ILYIN S</t>
  </si>
  <si>
    <t>JEFMANSKI B</t>
  </si>
  <si>
    <t>JERMSITTIPARSERT K</t>
  </si>
  <si>
    <t>KIM B</t>
  </si>
  <si>
    <t>KOH J</t>
  </si>
  <si>
    <t>KRASNYANSKAYA O</t>
  </si>
  <si>
    <t>KUSTERKA-JEFMANSKA M</t>
  </si>
  <si>
    <t>LEE W</t>
  </si>
  <si>
    <t>LI C</t>
  </si>
  <si>
    <t>LIOW M</t>
  </si>
  <si>
    <t>MASUDA Y</t>
  </si>
  <si>
    <t>MONTSHIWA A</t>
  </si>
  <si>
    <t>MUAFI M</t>
  </si>
  <si>
    <t>MUHAMMAD N</t>
  </si>
  <si>
    <t>NAGAHIRA A</t>
  </si>
  <si>
    <t>NITESCU D</t>
  </si>
  <si>
    <t>OLIVAR-TOST G</t>
  </si>
  <si>
    <t>OTERO-NEIRA C</t>
  </si>
  <si>
    <t>PADIN C</t>
  </si>
  <si>
    <t>PESCAROLI G</t>
  </si>
  <si>
    <t>PUTRA A</t>
  </si>
  <si>
    <t>REDONDO J</t>
  </si>
  <si>
    <t>REZAEE Z</t>
  </si>
  <si>
    <t>SAUFI R</t>
  </si>
  <si>
    <t>SHEN K</t>
  </si>
  <si>
    <t>SILVEIRA C</t>
  </si>
  <si>
    <t>SURYA B</t>
  </si>
  <si>
    <t>SUÁREZ A</t>
  </si>
  <si>
    <t>TAN A</t>
  </si>
  <si>
    <t>TAY D</t>
  </si>
  <si>
    <t>TAY K</t>
  </si>
  <si>
    <t>TWOREK K</t>
  </si>
  <si>
    <t>TZENG G</t>
  </si>
  <si>
    <t>UFUA D</t>
  </si>
  <si>
    <t>VALENCIA-RODRÍGUEZ O</t>
  </si>
  <si>
    <t>XING J</t>
  </si>
  <si>
    <t>YEO N</t>
  </si>
  <si>
    <t>YUSOFF M</t>
  </si>
  <si>
    <t>AL-SHAIKH M</t>
  </si>
  <si>
    <t>AL-ZAQEBA M</t>
  </si>
  <si>
    <t>BENABEN F</t>
  </si>
  <si>
    <t>BIANCHI I</t>
  </si>
  <si>
    <t>DE G P</t>
  </si>
  <si>
    <t>HANAYSHA J</t>
  </si>
  <si>
    <t>HARYONO A</t>
  </si>
  <si>
    <t>HERMELINGMEIER V</t>
  </si>
  <si>
    <t>ISMAIL M</t>
  </si>
  <si>
    <t>KAMISSOKO D</t>
  </si>
  <si>
    <t>KITABAYASHI K</t>
  </si>
  <si>
    <t>MASHIRO G</t>
  </si>
  <si>
    <t>MOHAMAD M</t>
  </si>
  <si>
    <t>MORO S</t>
  </si>
  <si>
    <t>MULYONO M</t>
  </si>
  <si>
    <t>NARMADITYA B</t>
  </si>
  <si>
    <t>PODARAS A</t>
  </si>
  <si>
    <t>RIBEIRO R</t>
  </si>
  <si>
    <t>SAUNILA M</t>
  </si>
  <si>
    <t>SOETJIPTO B</t>
  </si>
  <si>
    <t>SULOLIPU A</t>
  </si>
  <si>
    <t>TANAKA T</t>
  </si>
  <si>
    <t>TJAHJADI B</t>
  </si>
  <si>
    <t>UKKO J</t>
  </si>
  <si>
    <t>WAGNER B</t>
  </si>
  <si>
    <t>WAHYONO H</t>
  </si>
  <si>
    <t>WIBOWO A</t>
  </si>
  <si>
    <t>ABD S R</t>
  </si>
  <si>
    <t>ABDELRAHMAN S</t>
  </si>
  <si>
    <t>ABDELRAZAQ H</t>
  </si>
  <si>
    <t>ABDFATAH A</t>
  </si>
  <si>
    <t>ABDUL R N</t>
  </si>
  <si>
    <t>ABDULLAH S</t>
  </si>
  <si>
    <t>ABDULLAHI M</t>
  </si>
  <si>
    <t>ABE Y</t>
  </si>
  <si>
    <t>ABED S</t>
  </si>
  <si>
    <t>ABEL T</t>
  </si>
  <si>
    <t>ABROR A</t>
  </si>
  <si>
    <t>ABU H H</t>
  </si>
  <si>
    <t>ABU-RUMMAN A</t>
  </si>
  <si>
    <t>ABUBAKAR H</t>
  </si>
  <si>
    <t>ACEVEDO-DUQUE A</t>
  </si>
  <si>
    <t>ACHTENHAGEN L</t>
  </si>
  <si>
    <t>ACOSTA-VELÁSQUEZ R</t>
  </si>
  <si>
    <t>ADKINS G</t>
  </si>
  <si>
    <t>AFIFF A</t>
  </si>
  <si>
    <t>AFRIANA A</t>
  </si>
  <si>
    <t>AGHEORGHIESEI D</t>
  </si>
  <si>
    <t>AGUDELO L</t>
  </si>
  <si>
    <t>AHMAD</t>
  </si>
  <si>
    <t>AHMAD M</t>
  </si>
  <si>
    <t>AHMAD R</t>
  </si>
  <si>
    <t>AHMADI E</t>
  </si>
  <si>
    <t>AHN H</t>
  </si>
  <si>
    <t>AIGBOGUN O</t>
  </si>
  <si>
    <t>AJAYI M</t>
  </si>
  <si>
    <t>AKBARI D</t>
  </si>
  <si>
    <t>AKINTOYE I</t>
  </si>
  <si>
    <t>AKOPOV S</t>
  </si>
  <si>
    <t>AL S A</t>
  </si>
  <si>
    <t>AL-BAZAIAH S</t>
  </si>
  <si>
    <t>AL-KHASAWNEH A</t>
  </si>
  <si>
    <t>AL-KHAWAJA H</t>
  </si>
  <si>
    <t>AL-KHHABSHEH A</t>
  </si>
  <si>
    <t>AL-KHRABSHEH A</t>
  </si>
  <si>
    <t>AL-NSOUR M</t>
  </si>
  <si>
    <t>AL-SHAMMARI M</t>
  </si>
  <si>
    <t>AL-TAANI A</t>
  </si>
  <si>
    <t>ALAWAD A</t>
  </si>
  <si>
    <t>ALBERTON L</t>
  </si>
  <si>
    <t>ALBHIRAT M</t>
  </si>
  <si>
    <t>ALCÁNTARA-AYALA I</t>
  </si>
  <si>
    <t>ALDANA-BERNAL J</t>
  </si>
  <si>
    <t>ALFIERO S</t>
  </si>
  <si>
    <t>ALGHABABSHEH M</t>
  </si>
  <si>
    <t>ALMAIAH M</t>
  </si>
  <si>
    <t>ALONSO-GARCÍA M</t>
  </si>
  <si>
    <t>ALRABAB'A M</t>
  </si>
  <si>
    <t>ALRAWAD M</t>
  </si>
  <si>
    <t>ALSHAMSI A</t>
  </si>
  <si>
    <t>ALSHEHADEH A</t>
  </si>
  <si>
    <t>ALSYOUF A</t>
  </si>
  <si>
    <t>ALVES A</t>
  </si>
  <si>
    <t>ALWAN A</t>
  </si>
  <si>
    <t>ALWI N</t>
  </si>
  <si>
    <t>ALZUBI A</t>
  </si>
  <si>
    <t>AMBARWATI R</t>
  </si>
  <si>
    <t>AMER B</t>
  </si>
  <si>
    <t>AMPAULENG A</t>
  </si>
  <si>
    <t>ANAIA L</t>
  </si>
  <si>
    <t>ANCHOR J</t>
  </si>
  <si>
    <t>ANDERSSON S</t>
  </si>
  <si>
    <t>ANDI R</t>
  </si>
  <si>
    <t>ANGHEL L</t>
  </si>
  <si>
    <t>ANHOLON R</t>
  </si>
  <si>
    <t>ANJUM S</t>
  </si>
  <si>
    <t>ANSHORY I</t>
  </si>
  <si>
    <t>ANTLOVÁ K</t>
  </si>
  <si>
    <t>ANWAR D</t>
  </si>
  <si>
    <t>AOKI M</t>
  </si>
  <si>
    <t>ARDYAN E</t>
  </si>
  <si>
    <t>ARGATU R</t>
  </si>
  <si>
    <t>ARIEMBA J</t>
  </si>
  <si>
    <t>ASANDULUI L</t>
  </si>
  <si>
    <t>ASANO T</t>
  </si>
  <si>
    <t>ASGARY A</t>
  </si>
  <si>
    <t>ASMARA T</t>
  </si>
  <si>
    <t>ASONGU S</t>
  </si>
  <si>
    <t>ASRIATI N</t>
  </si>
  <si>
    <t>AUGENSTEIN K</t>
  </si>
  <si>
    <t>AUSEJO-SÁNCHEZ J</t>
  </si>
  <si>
    <t>AVILA L</t>
  </si>
  <si>
    <t>AYSOLMAZ B</t>
  </si>
  <si>
    <t>AZADEGAN A</t>
  </si>
  <si>
    <t>AZIZ N</t>
  </si>
  <si>
    <t>BABA H</t>
  </si>
  <si>
    <t>BAJWA S</t>
  </si>
  <si>
    <t>BALDEOS-ARDIAN L</t>
  </si>
  <si>
    <t>BALOGOVÁ B</t>
  </si>
  <si>
    <t>BANSAL P</t>
  </si>
  <si>
    <t>BARAC D</t>
  </si>
  <si>
    <t>BARADARANI S</t>
  </si>
  <si>
    <t>BARI A</t>
  </si>
  <si>
    <t>BARILOVÁ B</t>
  </si>
  <si>
    <t>BARKEY C</t>
  </si>
  <si>
    <t>BARTEK J</t>
  </si>
  <si>
    <t>BARTKUS E</t>
  </si>
  <si>
    <t>BASHETI I</t>
  </si>
  <si>
    <t>BAWOLE J</t>
  </si>
  <si>
    <t>BAZ J</t>
  </si>
  <si>
    <t>BEC A</t>
  </si>
  <si>
    <t>BEKETOVA O</t>
  </si>
  <si>
    <t>BELAL H</t>
  </si>
  <si>
    <t>BEPPU S</t>
  </si>
  <si>
    <t>BERBEROGLU A</t>
  </si>
  <si>
    <t>BERKOVIC V</t>
  </si>
  <si>
    <t>BERNAL C</t>
  </si>
  <si>
    <t>BERNÁ-MARTÍNEZ J</t>
  </si>
  <si>
    <t>BERRY A</t>
  </si>
  <si>
    <t>BETANCOURT R J</t>
  </si>
  <si>
    <t>BHADRA K</t>
  </si>
  <si>
    <t>BIERENBAUM A</t>
  </si>
  <si>
    <t>BIEŃKOWSKA A</t>
  </si>
  <si>
    <t>BIJU S</t>
  </si>
  <si>
    <t>BIN Y M</t>
  </si>
  <si>
    <t>BLACK H</t>
  </si>
  <si>
    <t>BLAKE K</t>
  </si>
  <si>
    <t>BLASKO P</t>
  </si>
  <si>
    <t>BLID L</t>
  </si>
  <si>
    <t>BLOME C</t>
  </si>
  <si>
    <t>BOBEL V</t>
  </si>
  <si>
    <t>BOEHMER W</t>
  </si>
  <si>
    <t>BOGDANOVIC Z</t>
  </si>
  <si>
    <t>BOHMAN A</t>
  </si>
  <si>
    <t>BOLZONI D</t>
  </si>
  <si>
    <t>BOSTAN I</t>
  </si>
  <si>
    <t>BOTHA J</t>
  </si>
  <si>
    <t>BOYER T</t>
  </si>
  <si>
    <t>BRANDT C</t>
  </si>
  <si>
    <t>BRATUCU G</t>
  </si>
  <si>
    <t>BRAUNSCHEIDEL M</t>
  </si>
  <si>
    <t>BUGHEANU A</t>
  </si>
  <si>
    <t>BURGELMAN R</t>
  </si>
  <si>
    <t>BURILLO P</t>
  </si>
  <si>
    <t>BYKOVA A</t>
  </si>
  <si>
    <t>CABINOVÁ V</t>
  </si>
  <si>
    <t>CAELLI W</t>
  </si>
  <si>
    <t>CAHYANINGDYAH D</t>
  </si>
  <si>
    <t>CAMPOPIANO G</t>
  </si>
  <si>
    <t>CAMPOS J</t>
  </si>
  <si>
    <t>CANTINO V</t>
  </si>
  <si>
    <t>CAPRITA E</t>
  </si>
  <si>
    <t>CARDARILLI M</t>
  </si>
  <si>
    <t>CARDONA C</t>
  </si>
  <si>
    <t>CARRO-SUÁREZ J</t>
  </si>
  <si>
    <t>CARVALHO M</t>
  </si>
  <si>
    <t>CASE C</t>
  </si>
  <si>
    <t>CASTELA G</t>
  </si>
  <si>
    <t>CASTELLANI P</t>
  </si>
  <si>
    <t>CETINA I</t>
  </si>
  <si>
    <t>CHABATA T</t>
  </si>
  <si>
    <t>CHAITONGRAT S</t>
  </si>
  <si>
    <t>CHALMETA R</t>
  </si>
  <si>
    <t>CHAN Y</t>
  </si>
  <si>
    <t>CHANDRA Y</t>
  </si>
  <si>
    <t>CHANG H</t>
  </si>
  <si>
    <t>CHARI F</t>
  </si>
  <si>
    <t>CHARLES K</t>
  </si>
  <si>
    <t>CHAROENTHAMMACHOKE K</t>
  </si>
  <si>
    <t>CHATJUTHAMARD P</t>
  </si>
  <si>
    <t>CHATTERJEE R</t>
  </si>
  <si>
    <t>CHATTERJEE S</t>
  </si>
  <si>
    <t>CHATZISTELIOS G</t>
  </si>
  <si>
    <t>CHATZITHEODORIDIS F</t>
  </si>
  <si>
    <t>CHAUDHURI A</t>
  </si>
  <si>
    <t>CHAUDHURI R</t>
  </si>
  <si>
    <t>CHAW L</t>
  </si>
  <si>
    <t>CHEN C</t>
  </si>
  <si>
    <t>CHEN H</t>
  </si>
  <si>
    <t>CHEN L</t>
  </si>
  <si>
    <t>CHEN M</t>
  </si>
  <si>
    <t>CHERSAN I</t>
  </si>
  <si>
    <t>CHILDS M</t>
  </si>
  <si>
    <t>CHIN O</t>
  </si>
  <si>
    <t>CHINDASOMBATCHAROEN P</t>
  </si>
  <si>
    <t>CHIRILA V</t>
  </si>
  <si>
    <t>CHO H</t>
  </si>
  <si>
    <t>CHOI E</t>
  </si>
  <si>
    <t>CHUENYINDEE T</t>
  </si>
  <si>
    <t>CHUN S</t>
  </si>
  <si>
    <t>CLAUSON S</t>
  </si>
  <si>
    <t>COCHRAN D</t>
  </si>
  <si>
    <t>COGOLJEVIC M</t>
  </si>
  <si>
    <t>CONSTANTIN C</t>
  </si>
  <si>
    <t>CONTRERAS-PACHECO O</t>
  </si>
  <si>
    <t>CORRALES-ESTRADA A</t>
  </si>
  <si>
    <t>COSTA N</t>
  </si>
  <si>
    <t>COURTEMANCHE J</t>
  </si>
  <si>
    <t>CRAIG C</t>
  </si>
  <si>
    <t>CRISTEA M</t>
  </si>
  <si>
    <t>CRUCERU A</t>
  </si>
  <si>
    <t>CRUZ A</t>
  </si>
  <si>
    <t>CULHANE M</t>
  </si>
  <si>
    <t>DA S D</t>
  </si>
  <si>
    <t>DA S M</t>
  </si>
  <si>
    <t>DA S N</t>
  </si>
  <si>
    <t>DALTON C</t>
  </si>
  <si>
    <t>DANILET M</t>
  </si>
  <si>
    <t>DATTA P</t>
  </si>
  <si>
    <t>DE A M</t>
  </si>
  <si>
    <t>DE C A D</t>
  </si>
  <si>
    <t>DE M G</t>
  </si>
  <si>
    <t>DE O U</t>
  </si>
  <si>
    <t>DE S F</t>
  </si>
  <si>
    <t>DEDY</t>
  </si>
  <si>
    <t>DEIBLE C</t>
  </si>
  <si>
    <t>DEL R S M</t>
  </si>
  <si>
    <t>DELGADO-CRUZ A</t>
  </si>
  <si>
    <t>DERISMA D</t>
  </si>
  <si>
    <t>DESJARDINE M</t>
  </si>
  <si>
    <t>DESPOTOVIC-ZRAKIC M</t>
  </si>
  <si>
    <t>DHILLON P</t>
  </si>
  <si>
    <t>DIJAYA R</t>
  </si>
  <si>
    <t>DIMA A</t>
  </si>
  <si>
    <t>DINULESCU R</t>
  </si>
  <si>
    <t>DISANAYAKE R</t>
  </si>
  <si>
    <t>DIXON C</t>
  </si>
  <si>
    <t>DO N D E</t>
  </si>
  <si>
    <t>DOBROVIC J</t>
  </si>
  <si>
    <t>DONALDSON J</t>
  </si>
  <si>
    <t>DURST S</t>
  </si>
  <si>
    <t>DUSBAYEV I</t>
  </si>
  <si>
    <t>DWIVEDI Y</t>
  </si>
  <si>
    <t>EGAWA S</t>
  </si>
  <si>
    <t>EHIDO A</t>
  </si>
  <si>
    <t>EKANINGSIH L</t>
  </si>
  <si>
    <t>EL M M</t>
  </si>
  <si>
    <t>EL S A</t>
  </si>
  <si>
    <t>ERHARD K</t>
  </si>
  <si>
    <t>ERIKSSON D</t>
  </si>
  <si>
    <t>ESCOBAR-SIERRA M</t>
  </si>
  <si>
    <t>ESEN M</t>
  </si>
  <si>
    <t>ESPINOSA-LEAL L</t>
  </si>
  <si>
    <t>ESPINOZA-GALLARDO R</t>
  </si>
  <si>
    <t>ETALLE S</t>
  </si>
  <si>
    <t>FAERTES D</t>
  </si>
  <si>
    <t>FAHMA F</t>
  </si>
  <si>
    <t>FAIRUZI A</t>
  </si>
  <si>
    <t>FAISAL F</t>
  </si>
  <si>
    <t>FAJARDO-MORENO W</t>
  </si>
  <si>
    <t>FAKHOURY A</t>
  </si>
  <si>
    <t>FAKIH A</t>
  </si>
  <si>
    <t>FANI S</t>
  </si>
  <si>
    <t>FAROOQ M</t>
  </si>
  <si>
    <t>FATIHIN M</t>
  </si>
  <si>
    <t>FAWEHINMI O</t>
  </si>
  <si>
    <t>FENG S</t>
  </si>
  <si>
    <t>FERNANDES A</t>
  </si>
  <si>
    <t>FERNANDES K</t>
  </si>
  <si>
    <t>FERRARIS A</t>
  </si>
  <si>
    <t>FERREIRA M</t>
  </si>
  <si>
    <t>FERRO C</t>
  </si>
  <si>
    <t>FIGGE L</t>
  </si>
  <si>
    <t>FILHO W</t>
  </si>
  <si>
    <t>FILIPOVIĆ D</t>
  </si>
  <si>
    <t>FISCHBACHER-SMITH D</t>
  </si>
  <si>
    <t>FONG P S</t>
  </si>
  <si>
    <t>FOSS B</t>
  </si>
  <si>
    <t>FRIKHA G</t>
  </si>
  <si>
    <t>FUDA M</t>
  </si>
  <si>
    <t>FUJITA M</t>
  </si>
  <si>
    <t>FUJIWARA T</t>
  </si>
  <si>
    <t>FUKAYA S</t>
  </si>
  <si>
    <t>FURFARO A</t>
  </si>
  <si>
    <t>FURINTO A</t>
  </si>
  <si>
    <t>FURUKAWA H</t>
  </si>
  <si>
    <t>GABER H</t>
  </si>
  <si>
    <t>GADANAKIS Y</t>
  </si>
  <si>
    <t>GAIMAN O</t>
  </si>
  <si>
    <t>GALAITSI S</t>
  </si>
  <si>
    <t>GALASSO C</t>
  </si>
  <si>
    <t>GALBUSERA L</t>
  </si>
  <si>
    <t>GALLO P</t>
  </si>
  <si>
    <t>GALLO T</t>
  </si>
  <si>
    <t>GAO G</t>
  </si>
  <si>
    <t>GAO J</t>
  </si>
  <si>
    <t>GARCÍA M</t>
  </si>
  <si>
    <t>GARCÍA-PÉREZ A</t>
  </si>
  <si>
    <t>GARCÍA-UNANUE J</t>
  </si>
  <si>
    <t>GAREFALAKIS A</t>
  </si>
  <si>
    <t>GARZA-REYES J</t>
  </si>
  <si>
    <t>GATTO A</t>
  </si>
  <si>
    <t>GAYIALIS S</t>
  </si>
  <si>
    <t>GAZZOLA V</t>
  </si>
  <si>
    <t>GEELEN-BAASS B</t>
  </si>
  <si>
    <t>GHIGNATTI P</t>
  </si>
  <si>
    <t>GHINEA V</t>
  </si>
  <si>
    <t>GIACOSA E</t>
  </si>
  <si>
    <t>GIANNARAKIS G</t>
  </si>
  <si>
    <t>GIANNOPOULOS G</t>
  </si>
  <si>
    <t>GIESEL H</t>
  </si>
  <si>
    <t>GILART-IGLESIAS V</t>
  </si>
  <si>
    <t>GILBERTZ S</t>
  </si>
  <si>
    <t>GNOH H</t>
  </si>
  <si>
    <t>GOEL L</t>
  </si>
  <si>
    <t>GOLDING A</t>
  </si>
  <si>
    <t>GOLDSMITH T</t>
  </si>
  <si>
    <t>GOMES S</t>
  </si>
  <si>
    <t>GONIDAKIS F</t>
  </si>
  <si>
    <t>GONZÁLEZ-DÍAZ R</t>
  </si>
  <si>
    <t>GOROMARU H</t>
  </si>
  <si>
    <t>GOWSIGA M</t>
  </si>
  <si>
    <t>GRABIS J</t>
  </si>
  <si>
    <t>GRENCÍKOVA A</t>
  </si>
  <si>
    <t>GRIMM J</t>
  </si>
  <si>
    <t>GROOTE J</t>
  </si>
  <si>
    <t>GROVE A</t>
  </si>
  <si>
    <t>GRUNDA R</t>
  </si>
  <si>
    <t>GUPTAN V</t>
  </si>
  <si>
    <t>GURNING R</t>
  </si>
  <si>
    <t>GUY E</t>
  </si>
  <si>
    <t>GÂRDAN D</t>
  </si>
  <si>
    <t>GÂRDAN I</t>
  </si>
  <si>
    <t>GÓMEZ B G</t>
  </si>
  <si>
    <t>GÓMEZ S</t>
  </si>
  <si>
    <t>GÓMEZ-SANTOS L</t>
  </si>
  <si>
    <t>HAAG K</t>
  </si>
  <si>
    <t>HABIB M</t>
  </si>
  <si>
    <t>HAJIALI I</t>
  </si>
  <si>
    <t>HAKAMATA R</t>
  </si>
  <si>
    <t>HALES R</t>
  </si>
  <si>
    <t>HALIM R</t>
  </si>
  <si>
    <t>HAMILTON E</t>
  </si>
  <si>
    <t>HAMILTON J</t>
  </si>
  <si>
    <t>HANAFI M</t>
  </si>
  <si>
    <t>HANDAYATI P</t>
  </si>
  <si>
    <t>HANDOYO E</t>
  </si>
  <si>
    <t>HANG Y</t>
  </si>
  <si>
    <t>HANSEN O</t>
  </si>
  <si>
    <t>HARIYONO A</t>
  </si>
  <si>
    <t>HARTOYO H</t>
  </si>
  <si>
    <t>HASSAN H</t>
  </si>
  <si>
    <t>HASSAN L</t>
  </si>
  <si>
    <t>HASSAN N</t>
  </si>
  <si>
    <t>HAUG O</t>
  </si>
  <si>
    <t>HE H</t>
  </si>
  <si>
    <t>HE L</t>
  </si>
  <si>
    <t>HEIKKILÄ J</t>
  </si>
  <si>
    <t>HEMMINGTON N</t>
  </si>
  <si>
    <t>HENDRIANA A</t>
  </si>
  <si>
    <t>HENG T</t>
  </si>
  <si>
    <t>HERBANE B</t>
  </si>
  <si>
    <t>HERNITA H</t>
  </si>
  <si>
    <t>HERRMANNSDÖRFER M</t>
  </si>
  <si>
    <t>HERSYAH M</t>
  </si>
  <si>
    <t>HICKLEY M</t>
  </si>
  <si>
    <t>HINAI N</t>
  </si>
  <si>
    <t>HOGEVOLD N</t>
  </si>
  <si>
    <t>HOOI S</t>
  </si>
  <si>
    <t>HORI E</t>
  </si>
  <si>
    <t>HORNUNG R</t>
  </si>
  <si>
    <t>HSBOLLAH H</t>
  </si>
  <si>
    <t>HUANG J</t>
  </si>
  <si>
    <t>HUSSAIN A</t>
  </si>
  <si>
    <t>HUSSAIN W</t>
  </si>
  <si>
    <t>IAKOVIDIS D</t>
  </si>
  <si>
    <t>IBEABUCHI C</t>
  </si>
  <si>
    <t>ICHSAN M</t>
  </si>
  <si>
    <t>IDREES A</t>
  </si>
  <si>
    <t>IDRIS A</t>
  </si>
  <si>
    <t>IDRIS M</t>
  </si>
  <si>
    <t>IFRIM M</t>
  </si>
  <si>
    <t>IMHONOPI D</t>
  </si>
  <si>
    <t>INDRAWATI A</t>
  </si>
  <si>
    <t>IQBAL J</t>
  </si>
  <si>
    <t>IRANI Z</t>
  </si>
  <si>
    <t>ISHAK W</t>
  </si>
  <si>
    <t>ISHIDA S</t>
  </si>
  <si>
    <t>ISKANDAR A</t>
  </si>
  <si>
    <t>ISKANDAR I</t>
  </si>
  <si>
    <t>ISLAM N</t>
  </si>
  <si>
    <t>ISMAIL N</t>
  </si>
  <si>
    <t>ISMAIL W</t>
  </si>
  <si>
    <t>JABEEN F</t>
  </si>
  <si>
    <t>JACK S</t>
  </si>
  <si>
    <t>JACKSON E</t>
  </si>
  <si>
    <t>JAHMANI A</t>
  </si>
  <si>
    <t>JAIN P</t>
  </si>
  <si>
    <t>JANG H</t>
  </si>
  <si>
    <t>JARAH B</t>
  </si>
  <si>
    <t>JAWABREH O</t>
  </si>
  <si>
    <t>JENSEN P</t>
  </si>
  <si>
    <t>JEONG E</t>
  </si>
  <si>
    <t>JIAO X</t>
  </si>
  <si>
    <t>JIHADI M</t>
  </si>
  <si>
    <t>JIN S</t>
  </si>
  <si>
    <t>JIN X</t>
  </si>
  <si>
    <t>JING D</t>
  </si>
  <si>
    <t>JINGYE L</t>
  </si>
  <si>
    <t>JIRAPORN P</t>
  </si>
  <si>
    <t>JOHNSTONE J</t>
  </si>
  <si>
    <t>JONCK P</t>
  </si>
  <si>
    <t>JOSHI A</t>
  </si>
  <si>
    <t>JOSHUA A</t>
  </si>
  <si>
    <t>JOVANOVIC V</t>
  </si>
  <si>
    <t>KAIDI H</t>
  </si>
  <si>
    <t>KALFAS D</t>
  </si>
  <si>
    <t>KALININA I</t>
  </si>
  <si>
    <t>KALOGIANNIDIS S</t>
  </si>
  <si>
    <t>KAMALANABHAN T</t>
  </si>
  <si>
    <t>KAMAN Z</t>
  </si>
  <si>
    <t>KAMARUL Z M</t>
  </si>
  <si>
    <t>KAMATH G</t>
  </si>
  <si>
    <t>KAMATH V</t>
  </si>
  <si>
    <t>KAMEI T</t>
  </si>
  <si>
    <t>KAO S</t>
  </si>
  <si>
    <t>KAR S</t>
  </si>
  <si>
    <t>KARAM R</t>
  </si>
  <si>
    <t>KARLSSON N</t>
  </si>
  <si>
    <t>KARTHEEPAN T</t>
  </si>
  <si>
    <t>KAUR A</t>
  </si>
  <si>
    <t>KAUR H</t>
  </si>
  <si>
    <t>KAZDA A</t>
  </si>
  <si>
    <t>KECHAGIAS E</t>
  </si>
  <si>
    <t>KEENAN J</t>
  </si>
  <si>
    <t>KEISLER J</t>
  </si>
  <si>
    <t>KEOY K</t>
  </si>
  <si>
    <t>KHAERUNNISA K</t>
  </si>
  <si>
    <t>KHALEGHI M</t>
  </si>
  <si>
    <t>KHALILI A</t>
  </si>
  <si>
    <t>KHAN M</t>
  </si>
  <si>
    <t>KHANNA B</t>
  </si>
  <si>
    <t>KHUPTAWATIN A</t>
  </si>
  <si>
    <t>KINNUNEN J</t>
  </si>
  <si>
    <t>KLOPPER H</t>
  </si>
  <si>
    <t>KO J</t>
  </si>
  <si>
    <t>KO S</t>
  </si>
  <si>
    <t>KOHTAKE N</t>
  </si>
  <si>
    <t>KOKOGAWA T</t>
  </si>
  <si>
    <t>KOLAH A</t>
  </si>
  <si>
    <t>KOLOWITZ B</t>
  </si>
  <si>
    <t>KORDOS M</t>
  </si>
  <si>
    <t>KORPHAIBOOL V</t>
  </si>
  <si>
    <t>KOSIERADZKA A</t>
  </si>
  <si>
    <t>KOSMOWSKI K</t>
  </si>
  <si>
    <t>KOZLOWSKI M</t>
  </si>
  <si>
    <t>KOZŁOWSKI M</t>
  </si>
  <si>
    <t>KRASNIQI I</t>
  </si>
  <si>
    <t>KRIŠTO M</t>
  </si>
  <si>
    <t>KUMAR N</t>
  </si>
  <si>
    <t>KUMAR V</t>
  </si>
  <si>
    <t>KUN W</t>
  </si>
  <si>
    <t>KURATA Y</t>
  </si>
  <si>
    <t>KURNIASARI F</t>
  </si>
  <si>
    <t>KUSUMANTI I</t>
  </si>
  <si>
    <t>KWEE Z</t>
  </si>
  <si>
    <t>KWOK L</t>
  </si>
  <si>
    <t>LABUS M</t>
  </si>
  <si>
    <t>LAGIOIA U</t>
  </si>
  <si>
    <t>LAMINE E</t>
  </si>
  <si>
    <t>LANE D</t>
  </si>
  <si>
    <t>LANGNEL Z</t>
  </si>
  <si>
    <t>LAU A</t>
  </si>
  <si>
    <t>LAURELL H</t>
  </si>
  <si>
    <t>LAURO G</t>
  </si>
  <si>
    <t>LEE N</t>
  </si>
  <si>
    <t>LEE S</t>
  </si>
  <si>
    <t>LEE T</t>
  </si>
  <si>
    <t>LEE V</t>
  </si>
  <si>
    <t>LEE Y</t>
  </si>
  <si>
    <t>LENKA P</t>
  </si>
  <si>
    <t>LESTARI E</t>
  </si>
  <si>
    <t>LEÓN-PULIDO J</t>
  </si>
  <si>
    <t>LEÓN-QUISMONDO J</t>
  </si>
  <si>
    <t>LI L</t>
  </si>
  <si>
    <t>LI W</t>
  </si>
  <si>
    <t>LI Z</t>
  </si>
  <si>
    <t>LIANG Y</t>
  </si>
  <si>
    <t>LIGHT K</t>
  </si>
  <si>
    <t>LIM A</t>
  </si>
  <si>
    <t>LIM W</t>
  </si>
  <si>
    <t>LIN A</t>
  </si>
  <si>
    <t>LIN C</t>
  </si>
  <si>
    <t>LIN K</t>
  </si>
  <si>
    <t>LINDGREN J</t>
  </si>
  <si>
    <t>LINKOV I</t>
  </si>
  <si>
    <t>LIOO-JORDAN F</t>
  </si>
  <si>
    <t>LIRN T</t>
  </si>
  <si>
    <t>LIU Y</t>
  </si>
  <si>
    <t>LOHMANN G</t>
  </si>
  <si>
    <t>LONGLEY D</t>
  </si>
  <si>
    <t>LOOTAH R</t>
  </si>
  <si>
    <t>LOPES M</t>
  </si>
  <si>
    <t>LOPEZ-TORRES G</t>
  </si>
  <si>
    <t>LU Y</t>
  </si>
  <si>
    <t>LUCENA W</t>
  </si>
  <si>
    <t>LUMB M</t>
  </si>
  <si>
    <t>LUTFI A</t>
  </si>
  <si>
    <t>LUTHRA S</t>
  </si>
  <si>
    <t>LYANDAU Y</t>
  </si>
  <si>
    <t>MA J</t>
  </si>
  <si>
    <t>MAABREH H</t>
  </si>
  <si>
    <t>MACIÁ-PÉREZ F</t>
  </si>
  <si>
    <t>MADDIX J</t>
  </si>
  <si>
    <t>MAHENDRA A</t>
  </si>
  <si>
    <t>MAHROOF K</t>
  </si>
  <si>
    <t>MAICAN S</t>
  </si>
  <si>
    <t>MAJERNÍK M</t>
  </si>
  <si>
    <t>MAKHDOOM H</t>
  </si>
  <si>
    <t>MALAU Y</t>
  </si>
  <si>
    <t>MALEGA P</t>
  </si>
  <si>
    <t>MALLADI S</t>
  </si>
  <si>
    <t>MANSOL N</t>
  </si>
  <si>
    <t>MANSOORI B</t>
  </si>
  <si>
    <t>MANSOURI S</t>
  </si>
  <si>
    <t>MANSUR D</t>
  </si>
  <si>
    <t>MARAIS K</t>
  </si>
  <si>
    <t>MARCOS-JORQUERA D</t>
  </si>
  <si>
    <t>MARGHERITA A</t>
  </si>
  <si>
    <t>MARIA N</t>
  </si>
  <si>
    <t>MARIN I</t>
  </si>
  <si>
    <t>MARINI A</t>
  </si>
  <si>
    <t>MARINO V</t>
  </si>
  <si>
    <t>MARKULIK S</t>
  </si>
  <si>
    <t>MAROLT M</t>
  </si>
  <si>
    <t>MARTÍNEZ-RUBIO K</t>
  </si>
  <si>
    <t>MASLENNIKOV V</t>
  </si>
  <si>
    <t>MASOOD T</t>
  </si>
  <si>
    <t>MATSUMOTO H</t>
  </si>
  <si>
    <t>MAULA F</t>
  </si>
  <si>
    <t>MAURI R</t>
  </si>
  <si>
    <t>MCNALLY L</t>
  </si>
  <si>
    <t>MENNE F</t>
  </si>
  <si>
    <t>MENONI S</t>
  </si>
  <si>
    <t>MERESSA H</t>
  </si>
  <si>
    <t>MESTRE A</t>
  </si>
  <si>
    <t>MEZA-RUIZ I</t>
  </si>
  <si>
    <t>MILJENOVIC D</t>
  </si>
  <si>
    <t>MILLÁN J</t>
  </si>
  <si>
    <t>MIN D</t>
  </si>
  <si>
    <t>MIRAJA B</t>
  </si>
  <si>
    <t>MISHRA R</t>
  </si>
  <si>
    <t>MISZALSKI W</t>
  </si>
  <si>
    <t>MITCHELL E</t>
  </si>
  <si>
    <t>MIYATA K</t>
  </si>
  <si>
    <t>MIYATA T</t>
  </si>
  <si>
    <t>MOHAIDAT J</t>
  </si>
  <si>
    <t>MOHAMAD R</t>
  </si>
  <si>
    <t>MOKHTAR S</t>
  </si>
  <si>
    <t>MONDAL S</t>
  </si>
  <si>
    <t>MONGIOI F</t>
  </si>
  <si>
    <t>MOOI W</t>
  </si>
  <si>
    <t>MOON Y</t>
  </si>
  <si>
    <t>MORALES-RAYA M</t>
  </si>
  <si>
    <t>MOROIANU M</t>
  </si>
  <si>
    <t>MORÓN V A</t>
  </si>
  <si>
    <t>MOSKOVICH Y</t>
  </si>
  <si>
    <t>MOTEJLEK J</t>
  </si>
  <si>
    <t>MOYLE B</t>
  </si>
  <si>
    <t>MOYLE C</t>
  </si>
  <si>
    <t>MOYO J</t>
  </si>
  <si>
    <t>MROCHKOVSKIY N</t>
  </si>
  <si>
    <t>MSAAD H</t>
  </si>
  <si>
    <t>MUAFI</t>
  </si>
  <si>
    <t>MUJIANTO M</t>
  </si>
  <si>
    <t>MUKHERJEE M</t>
  </si>
  <si>
    <t>MUNDRA N</t>
  </si>
  <si>
    <t>MUNIZ M</t>
  </si>
  <si>
    <t>MUNTEAN A</t>
  </si>
  <si>
    <t>MURAD M</t>
  </si>
  <si>
    <t>MURGU V</t>
  </si>
  <si>
    <t>MURWADJI T</t>
  </si>
  <si>
    <t>MUSACCHIO G</t>
  </si>
  <si>
    <t>MUTSVANGWA S</t>
  </si>
  <si>
    <t>MUÑNOZ P</t>
  </si>
  <si>
    <t>MWESIGWA R</t>
  </si>
  <si>
    <t>NADLIFATIN R</t>
  </si>
  <si>
    <t>NAFISA A</t>
  </si>
  <si>
    <t>NAGAYAMA A</t>
  </si>
  <si>
    <t>NAJIB M</t>
  </si>
  <si>
    <t>NAKAMURA Y</t>
  </si>
  <si>
    <t>NAPOLITANO M</t>
  </si>
  <si>
    <t>NARSA I</t>
  </si>
  <si>
    <t>NEILEY B</t>
  </si>
  <si>
    <t>NEILL L</t>
  </si>
  <si>
    <t>NEZHAD Y</t>
  </si>
  <si>
    <t>NGAI E</t>
  </si>
  <si>
    <t>NGO T</t>
  </si>
  <si>
    <t>NGUYEN T</t>
  </si>
  <si>
    <t>NICOLÁS-ROJAS Y</t>
  </si>
  <si>
    <t>NIETO D</t>
  </si>
  <si>
    <t>NOBRE F</t>
  </si>
  <si>
    <t>NORDIN M</t>
  </si>
  <si>
    <t>NURJANNAH D</t>
  </si>
  <si>
    <t>NURMALINA R</t>
  </si>
  <si>
    <t>NURMAYULIS N</t>
  </si>
  <si>
    <t>NURMIATI N</t>
  </si>
  <si>
    <t>NYOMAN Y I</t>
  </si>
  <si>
    <t>O'SULLIVAN T</t>
  </si>
  <si>
    <t>OCROSPOMA-DUEÑAS R</t>
  </si>
  <si>
    <t>OGENDO J</t>
  </si>
  <si>
    <t>OJALA J</t>
  </si>
  <si>
    <t>OJIMA T</t>
  </si>
  <si>
    <t>OKAFOR V</t>
  </si>
  <si>
    <t>OKORIE U</t>
  </si>
  <si>
    <t>OKUNLOLA A</t>
  </si>
  <si>
    <t>OLDANI G</t>
  </si>
  <si>
    <t>OLIVEIRA C</t>
  </si>
  <si>
    <t>OLUJOBI O</t>
  </si>
  <si>
    <t>OMAR M</t>
  </si>
  <si>
    <t>ONCIOIU I</t>
  </si>
  <si>
    <t>ONG A</t>
  </si>
  <si>
    <t>ONISOR L</t>
  </si>
  <si>
    <t>OOI K</t>
  </si>
  <si>
    <t>ORGONÁS J</t>
  </si>
  <si>
    <t>OROBIA L</t>
  </si>
  <si>
    <t>OSABUOHIEN E</t>
  </si>
  <si>
    <t>OTCHERTSOV M</t>
  </si>
  <si>
    <t>OTHMA A</t>
  </si>
  <si>
    <t>OTHMAN S</t>
  </si>
  <si>
    <t>OTHMAN Z</t>
  </si>
  <si>
    <t>OUDAH M</t>
  </si>
  <si>
    <t>PADMAWIDJAJA L</t>
  </si>
  <si>
    <t>PAIPA L</t>
  </si>
  <si>
    <t>PAIS I</t>
  </si>
  <si>
    <t>PALOMERO S</t>
  </si>
  <si>
    <t>PALZKILL A</t>
  </si>
  <si>
    <t>PANDO-EZCURRA T</t>
  </si>
  <si>
    <t>PANTA N</t>
  </si>
  <si>
    <t>PAPADOPOULOS G</t>
  </si>
  <si>
    <t>PAPAEVANGELOU O</t>
  </si>
  <si>
    <t>PARAPE C</t>
  </si>
  <si>
    <t>PARK C</t>
  </si>
  <si>
    <t>PARTLOVÁ P</t>
  </si>
  <si>
    <t>PASMAN H</t>
  </si>
  <si>
    <t>PASTIU C</t>
  </si>
  <si>
    <t>PATRIARCA R</t>
  </si>
  <si>
    <t>PATYK K</t>
  </si>
  <si>
    <t>PAUL T</t>
  </si>
  <si>
    <t>PAUNESCU C</t>
  </si>
  <si>
    <t>PELSER A</t>
  </si>
  <si>
    <t>PENDELL D</t>
  </si>
  <si>
    <t>PERWIRA I</t>
  </si>
  <si>
    <t>PETERSON M</t>
  </si>
  <si>
    <t>PETRUN S E</t>
  </si>
  <si>
    <t>PETZER D</t>
  </si>
  <si>
    <t>PHU G</t>
  </si>
  <si>
    <t>PHUDETCH P</t>
  </si>
  <si>
    <t>PICAZO K</t>
  </si>
  <si>
    <t>PIESIK E</t>
  </si>
  <si>
    <t>PIESIK J</t>
  </si>
  <si>
    <t>PINGAUD H</t>
  </si>
  <si>
    <t>PINGEL J</t>
  </si>
  <si>
    <t>PINHO M</t>
  </si>
  <si>
    <t>PINIGINA E</t>
  </si>
  <si>
    <t>PINTO D</t>
  </si>
  <si>
    <t>PIRTA-DREIMANE R</t>
  </si>
  <si>
    <t>PLUMLEY D</t>
  </si>
  <si>
    <t>PODRUG N</t>
  </si>
  <si>
    <t>POLANCO J</t>
  </si>
  <si>
    <t>POPESCU M</t>
  </si>
  <si>
    <t>POPESCU N</t>
  </si>
  <si>
    <t>POPOVA E</t>
  </si>
  <si>
    <t>POPOVIC S</t>
  </si>
  <si>
    <t>POTCOVARU A</t>
  </si>
  <si>
    <t>PRABHU V</t>
  </si>
  <si>
    <t>PRAKASH A</t>
  </si>
  <si>
    <t>PRASETYA P</t>
  </si>
  <si>
    <t>PRASETYO Y</t>
  </si>
  <si>
    <t>PRATIHARI S</t>
  </si>
  <si>
    <t>PREMACHANDRA C</t>
  </si>
  <si>
    <t>PRIHANDONO D</t>
  </si>
  <si>
    <t>PRUNCU C</t>
  </si>
  <si>
    <t>PUCIHAR A</t>
  </si>
  <si>
    <t>PURBA M</t>
  </si>
  <si>
    <t>PURCARU I</t>
  </si>
  <si>
    <t>PUSPITA M</t>
  </si>
  <si>
    <t>PUTRA I</t>
  </si>
  <si>
    <t>PUTRI A</t>
  </si>
  <si>
    <t>PĂUNESCU C</t>
  </si>
  <si>
    <t>QIU L</t>
  </si>
  <si>
    <t>RACHMAWATI R</t>
  </si>
  <si>
    <t>RADULESCU V</t>
  </si>
  <si>
    <t>RAGAZOU K</t>
  </si>
  <si>
    <t>RAHIM R</t>
  </si>
  <si>
    <t>RAHMA A</t>
  </si>
  <si>
    <t>RAHMAN A</t>
  </si>
  <si>
    <t>RAHMAN M</t>
  </si>
  <si>
    <t>RAHMATIAH</t>
  </si>
  <si>
    <t>RAHMAWATI A</t>
  </si>
  <si>
    <t>RAJU E</t>
  </si>
  <si>
    <t>RAKSHIT S</t>
  </si>
  <si>
    <t>RAMADHANI D</t>
  </si>
  <si>
    <t>RAMANTHA I</t>
  </si>
  <si>
    <t>RAMAYAH T</t>
  </si>
  <si>
    <t>RAMOS Y Y S</t>
  </si>
  <si>
    <t>RAMPASSO I</t>
  </si>
  <si>
    <t>RANSFIELD A</t>
  </si>
  <si>
    <t>RASIAH R</t>
  </si>
  <si>
    <t>RATIH M I</t>
  </si>
  <si>
    <t>RATNASARI E</t>
  </si>
  <si>
    <t>RAZAVI S</t>
  </si>
  <si>
    <t>REDI A</t>
  </si>
  <si>
    <t>REICHENBERGER I</t>
  </si>
  <si>
    <t>REITANO D</t>
  </si>
  <si>
    <t>REVUELTA E</t>
  </si>
  <si>
    <t>RIGLIETTI F</t>
  </si>
  <si>
    <t>ROBSON A</t>
  </si>
  <si>
    <t>ROCHA H</t>
  </si>
  <si>
    <t>ROCHA-LONA L</t>
  </si>
  <si>
    <t>RODRIGUEZ-LÓPEZ J</t>
  </si>
  <si>
    <t>ROIG-TIERNO N</t>
  </si>
  <si>
    <t>ROITZ J</t>
  </si>
  <si>
    <t>ROOSTIKA R</t>
  </si>
  <si>
    <t>ROSANO-ORTEGA G</t>
  </si>
  <si>
    <t>ROSIPKO B</t>
  </si>
  <si>
    <t>ROSSATO C</t>
  </si>
  <si>
    <t>RUDD J</t>
  </si>
  <si>
    <t>RUEL S</t>
  </si>
  <si>
    <t>RUHANEN L</t>
  </si>
  <si>
    <t>RUPAKHETY R</t>
  </si>
  <si>
    <t>RUSLAN M</t>
  </si>
  <si>
    <t>RUSULI M</t>
  </si>
  <si>
    <t>SA'DIYAH C</t>
  </si>
  <si>
    <t>SACCÀ D</t>
  </si>
  <si>
    <t>SADIQ M</t>
  </si>
  <si>
    <t>SAELEK P</t>
  </si>
  <si>
    <t>SAFEER A</t>
  </si>
  <si>
    <t>SAHEBJAMNIA N</t>
  </si>
  <si>
    <t>SAID A K</t>
  </si>
  <si>
    <t>SAITO K</t>
  </si>
  <si>
    <t>SALAMPESSY Y</t>
  </si>
  <si>
    <t>SALCEDO A</t>
  </si>
  <si>
    <t>SALLEH H</t>
  </si>
  <si>
    <t>SALLEH S</t>
  </si>
  <si>
    <t>SALVADOR K</t>
  </si>
  <si>
    <t>SALVATO M</t>
  </si>
  <si>
    <t>SAM M M</t>
  </si>
  <si>
    <t>SAMY A</t>
  </si>
  <si>
    <t>SAN O</t>
  </si>
  <si>
    <t>SANDERS G</t>
  </si>
  <si>
    <t>SANTOS A</t>
  </si>
  <si>
    <t>SANTOS M</t>
  </si>
  <si>
    <t>SAPAPTHAI S</t>
  </si>
  <si>
    <t>SARIP S</t>
  </si>
  <si>
    <t>SARMIENTO-PAREDES S</t>
  </si>
  <si>
    <t>SASAKI H</t>
  </si>
  <si>
    <t>SAVAGEAU C</t>
  </si>
  <si>
    <t>SAWALHA I</t>
  </si>
  <si>
    <t>SCHMID B</t>
  </si>
  <si>
    <t>SCHMIDT A</t>
  </si>
  <si>
    <t>SCHULTMANN F</t>
  </si>
  <si>
    <t>SCHÄTTER F</t>
  </si>
  <si>
    <t>SENNA S</t>
  </si>
  <si>
    <t>SENZAI Y</t>
  </si>
  <si>
    <t>SEOL J</t>
  </si>
  <si>
    <t>SERRANO F</t>
  </si>
  <si>
    <t>SETIAWAN A</t>
  </si>
  <si>
    <t>SETYANINGRUM R</t>
  </si>
  <si>
    <t>SHAH S</t>
  </si>
  <si>
    <t>SHAMS S</t>
  </si>
  <si>
    <t>SHANG M</t>
  </si>
  <si>
    <t>SHATSKAYA I</t>
  </si>
  <si>
    <t>SHAW R</t>
  </si>
  <si>
    <t>SHIBAMURA Y</t>
  </si>
  <si>
    <t>SHIEH J</t>
  </si>
  <si>
    <t>SHIRAHADA K</t>
  </si>
  <si>
    <t>SHOLEHULHUDA A</t>
  </si>
  <si>
    <t>SHOLIHAT W</t>
  </si>
  <si>
    <t>SI P</t>
  </si>
  <si>
    <t>SIBANDA L</t>
  </si>
  <si>
    <t>SIGAHI T</t>
  </si>
  <si>
    <t>SIGANKOV A</t>
  </si>
  <si>
    <t>SILVA V</t>
  </si>
  <si>
    <t>SILVEIRA G</t>
  </si>
  <si>
    <t>SIMANJUNTAK M</t>
  </si>
  <si>
    <t>SIMANJUTAK D</t>
  </si>
  <si>
    <t>SINDAMBIWE P</t>
  </si>
  <si>
    <t>SINGH S</t>
  </si>
  <si>
    <t>SIREGAR A</t>
  </si>
  <si>
    <t>SIVARAJAH U</t>
  </si>
  <si>
    <t>SLIWINSKI M</t>
  </si>
  <si>
    <t>SMAGOWICZ J</t>
  </si>
  <si>
    <t>SMITH J</t>
  </si>
  <si>
    <t>SNEDDON J</t>
  </si>
  <si>
    <t>SNEED C</t>
  </si>
  <si>
    <t>SOEWARNO N</t>
  </si>
  <si>
    <t>SOHNS T</t>
  </si>
  <si>
    <t>SOLC M</t>
  </si>
  <si>
    <t>SOROOSHIAN S</t>
  </si>
  <si>
    <t>SOUCY L</t>
  </si>
  <si>
    <t>SPALEK P</t>
  </si>
  <si>
    <t>SPINTHIROPOULOS K</t>
  </si>
  <si>
    <t>SPREMIC M</t>
  </si>
  <si>
    <t>SPYRIDONAKOS N</t>
  </si>
  <si>
    <t>SSEKIZIYIVU B</t>
  </si>
  <si>
    <t>STANKOVIC S</t>
  </si>
  <si>
    <t>STARKEY M</t>
  </si>
  <si>
    <t>STAVROPOULOU E</t>
  </si>
  <si>
    <t>STEEN R</t>
  </si>
  <si>
    <t>STEFANESCU C</t>
  </si>
  <si>
    <t>STOFKOVÁ J</t>
  </si>
  <si>
    <t>SUBRIADI A</t>
  </si>
  <si>
    <t>SUDO N</t>
  </si>
  <si>
    <t>SUGARINDRA M</t>
  </si>
  <si>
    <t>SUGIURA M</t>
  </si>
  <si>
    <t>SUHARTANTO D</t>
  </si>
  <si>
    <t>SUMADI S</t>
  </si>
  <si>
    <t>SUN H</t>
  </si>
  <si>
    <t>SUNSHINE J</t>
  </si>
  <si>
    <t>SURESH N</t>
  </si>
  <si>
    <t>SURIANI S</t>
  </si>
  <si>
    <t>SURWANTI A</t>
  </si>
  <si>
    <t>SURYADI U</t>
  </si>
  <si>
    <t>SUSILO A</t>
  </si>
  <si>
    <t>SUSILOWATI I</t>
  </si>
  <si>
    <t>SUSKOVIC G</t>
  </si>
  <si>
    <t>SUTRISNO T</t>
  </si>
  <si>
    <t>SUÁREZ-GÓMEZ J</t>
  </si>
  <si>
    <t>SYAMSURI S</t>
  </si>
  <si>
    <t>SYED T</t>
  </si>
  <si>
    <t>SZWED C</t>
  </si>
  <si>
    <t>TAAN H</t>
  </si>
  <si>
    <t>TAARUP-ESBENSEN J</t>
  </si>
  <si>
    <t>TAHIR H</t>
  </si>
  <si>
    <t>TAJEDDINI K</t>
  </si>
  <si>
    <t>TAKAHASHI N</t>
  </si>
  <si>
    <t>TAKAKUWA S</t>
  </si>
  <si>
    <t>TAKEHIRO T</t>
  </si>
  <si>
    <t>TAMURA M</t>
  </si>
  <si>
    <t>TAN G</t>
  </si>
  <si>
    <t>TAN M</t>
  </si>
  <si>
    <t>TAN Y</t>
  </si>
  <si>
    <t>TANDIO D</t>
  </si>
  <si>
    <t>TANNADY H</t>
  </si>
  <si>
    <t>TEKALA K</t>
  </si>
  <si>
    <t>THOHARUDIN M</t>
  </si>
  <si>
    <t>THOMPSON B</t>
  </si>
  <si>
    <t>THOMPSON J</t>
  </si>
  <si>
    <t>THOMPSON R</t>
  </si>
  <si>
    <t>THORNTON T</t>
  </si>
  <si>
    <t>TIAN Z</t>
  </si>
  <si>
    <t>TOMINAGA T</t>
  </si>
  <si>
    <t>TORABI S</t>
  </si>
  <si>
    <t>TORAYASHIKI T</t>
  </si>
  <si>
    <t>TORRES-GUEVARA L</t>
  </si>
  <si>
    <t>TRABUCCO M</t>
  </si>
  <si>
    <t>TRACEY S</t>
  </si>
  <si>
    <t>TREEPONGKARUNA S</t>
  </si>
  <si>
    <t>TSAI K</t>
  </si>
  <si>
    <t>TSE D</t>
  </si>
  <si>
    <t>TUGUI A</t>
  </si>
  <si>
    <t>TUR-PORCAR A</t>
  </si>
  <si>
    <t>TURETKEN O</t>
  </si>
  <si>
    <t>TURNER T</t>
  </si>
  <si>
    <t>TURULJA L</t>
  </si>
  <si>
    <t>TUSIIME I</t>
  </si>
  <si>
    <t>TWAISSI N</t>
  </si>
  <si>
    <t>TÓTH G</t>
  </si>
  <si>
    <t>UEDA Y</t>
  </si>
  <si>
    <t>UJAN A</t>
  </si>
  <si>
    <t>ULFAH M</t>
  </si>
  <si>
    <t>UMNOVA M</t>
  </si>
  <si>
    <t>UR R M H</t>
  </si>
  <si>
    <t>URBANCOVA H</t>
  </si>
  <si>
    <t>URBANCOVÁ H</t>
  </si>
  <si>
    <t>URBANEC J</t>
  </si>
  <si>
    <t>URDEA A</t>
  </si>
  <si>
    <t>UZMA S</t>
  </si>
  <si>
    <t>VAIYAVUTH R</t>
  </si>
  <si>
    <t>VAN D B F</t>
  </si>
  <si>
    <t>VARELA J</t>
  </si>
  <si>
    <t>VARGAS E</t>
  </si>
  <si>
    <t>VARGAS-MARTÍNEZ E</t>
  </si>
  <si>
    <t>VELAZQUEZ O</t>
  </si>
  <si>
    <t>VICENTE E</t>
  </si>
  <si>
    <t>VICENTE S</t>
  </si>
  <si>
    <t>VIDMAR D</t>
  </si>
  <si>
    <t>VLACHOS T</t>
  </si>
  <si>
    <t>VOLBERDA H</t>
  </si>
  <si>
    <t>VON S R</t>
  </si>
  <si>
    <t>VON W T</t>
  </si>
  <si>
    <t>VRABCOVA P</t>
  </si>
  <si>
    <t>VRONTIS D</t>
  </si>
  <si>
    <t>VÁCHAL J</t>
  </si>
  <si>
    <t>WALECKA-JANKOWSKA K</t>
  </si>
  <si>
    <t>WAN S</t>
  </si>
  <si>
    <t>WANG L</t>
  </si>
  <si>
    <t>WANING B</t>
  </si>
  <si>
    <t>WARDANA L</t>
  </si>
  <si>
    <t>WARDANI S</t>
  </si>
  <si>
    <t>WARDHANA E</t>
  </si>
  <si>
    <t>WARIS I</t>
  </si>
  <si>
    <t>WATANABE T</t>
  </si>
  <si>
    <t>WEAVER J</t>
  </si>
  <si>
    <t>WEILER B</t>
  </si>
  <si>
    <t>WELIKANNA D</t>
  </si>
  <si>
    <t>WHITE J</t>
  </si>
  <si>
    <t>WIAGUSTINI N</t>
  </si>
  <si>
    <t>WIDAGDO B</t>
  </si>
  <si>
    <t>WIENS M</t>
  </si>
  <si>
    <t>WIJAYANTI T</t>
  </si>
  <si>
    <t>WIJAYANTO A</t>
  </si>
  <si>
    <t>WILSON R</t>
  </si>
  <si>
    <t>WINARNO A</t>
  </si>
  <si>
    <t>WIROTO D</t>
  </si>
  <si>
    <t>WONG D</t>
  </si>
  <si>
    <t>WONG L</t>
  </si>
  <si>
    <t>WONGCHAROENSIN K</t>
  </si>
  <si>
    <t>WONGWILAI S</t>
  </si>
  <si>
    <t>WU Y</t>
  </si>
  <si>
    <t>XIAOYI Z</t>
  </si>
  <si>
    <t>XING M</t>
  </si>
  <si>
    <t>XIONG Y</t>
  </si>
  <si>
    <t>YAEGASHI N</t>
  </si>
  <si>
    <t>YAN M</t>
  </si>
  <si>
    <t>YANG H</t>
  </si>
  <si>
    <t>YANG J</t>
  </si>
  <si>
    <t>YANG S</t>
  </si>
  <si>
    <t>YEO S</t>
  </si>
  <si>
    <t>YI L</t>
  </si>
  <si>
    <t>YIN C</t>
  </si>
  <si>
    <t>YONG J</t>
  </si>
  <si>
    <t>YOO B</t>
  </si>
  <si>
    <t>YOUNG M</t>
  </si>
  <si>
    <t>YUDHA A</t>
  </si>
  <si>
    <t>YUGAI L</t>
  </si>
  <si>
    <t>YUSOFF Y</t>
  </si>
  <si>
    <t>YUSUF E</t>
  </si>
  <si>
    <t>YUSUF M</t>
  </si>
  <si>
    <t>ZABŁOCKA-KLUCZKA A</t>
  </si>
  <si>
    <t>ZAFAR Z</t>
  </si>
  <si>
    <t>ZAIDI M</t>
  </si>
  <si>
    <t>ZAILANI S</t>
  </si>
  <si>
    <t>ZAINOL F</t>
  </si>
  <si>
    <t>ZAKE G</t>
  </si>
  <si>
    <t>ZAKI N</t>
  </si>
  <si>
    <t>ZAMBON E</t>
  </si>
  <si>
    <t>ZASKÓRSKI P</t>
  </si>
  <si>
    <t>ZAWIŁA-NIEDŹWIECKI J</t>
  </si>
  <si>
    <t>ZGRZYWA-ZIEMAK A</t>
  </si>
  <si>
    <t>ZHANG C</t>
  </si>
  <si>
    <t>ZHANG P</t>
  </si>
  <si>
    <t>ZHAO L</t>
  </si>
  <si>
    <t>ZIEBA M</t>
  </si>
  <si>
    <t>ZIMMER M</t>
  </si>
  <si>
    <t>ZSOLNAI L</t>
  </si>
  <si>
    <t>ZULKIFFLI S</t>
  </si>
  <si>
    <t>params</t>
  </si>
  <si>
    <t>values</t>
  </si>
  <si>
    <t>field</t>
  </si>
  <si>
    <t>DE</t>
  </si>
  <si>
    <t>n</t>
  </si>
  <si>
    <t>250</t>
  </si>
  <si>
    <t>minfreq</t>
  </si>
  <si>
    <t>ngrams</t>
  </si>
  <si>
    <t>stemming</t>
  </si>
  <si>
    <t>FALSE</t>
  </si>
  <si>
    <t>size</t>
  </si>
  <si>
    <t>0.3</t>
  </si>
  <si>
    <t>n.labels</t>
  </si>
  <si>
    <t>3</t>
  </si>
  <si>
    <t>community.repulsion</t>
  </si>
  <si>
    <t>repel</t>
  </si>
  <si>
    <t>cluster</t>
  </si>
  <si>
    <t>louvain</t>
  </si>
  <si>
    <t>Occurrences</t>
  </si>
  <si>
    <t>Words</t>
  </si>
  <si>
    <t>Cluster</t>
  </si>
  <si>
    <t>Cluster_Label</t>
  </si>
  <si>
    <t>btw_centrality</t>
  </si>
  <si>
    <t>clos_centrality</t>
  </si>
  <si>
    <t>pagerank_centrality</t>
  </si>
  <si>
    <t>business sustainability</t>
  </si>
  <si>
    <t>sustainable development</t>
  </si>
  <si>
    <t>innovation</t>
  </si>
  <si>
    <t>smes</t>
  </si>
  <si>
    <t>entrepreneurship</t>
  </si>
  <si>
    <t>financial performance</t>
  </si>
  <si>
    <t>corporate sustainability</t>
  </si>
  <si>
    <t>msmes</t>
  </si>
  <si>
    <t>corporate governance</t>
  </si>
  <si>
    <t>green innovation</t>
  </si>
  <si>
    <t>indonesia</t>
  </si>
  <si>
    <t>bibliometric analysis</t>
  </si>
  <si>
    <t>case study</t>
  </si>
  <si>
    <t>competitive advantage</t>
  </si>
  <si>
    <t>environmental sustainability</t>
  </si>
  <si>
    <t>financial literacy</t>
  </si>
  <si>
    <t>information technology</t>
  </si>
  <si>
    <t>intellectual capital</t>
  </si>
  <si>
    <t>organizational performance</t>
  </si>
  <si>
    <t>structural equation modeling</t>
  </si>
  <si>
    <t>business sustainability (bs)</t>
  </si>
  <si>
    <t>content analysis</t>
  </si>
  <si>
    <t>digital marketing</t>
  </si>
  <si>
    <t>digital transformation</t>
  </si>
  <si>
    <t>knowledge management</t>
  </si>
  <si>
    <t>market orientation</t>
  </si>
  <si>
    <t>modeling</t>
  </si>
  <si>
    <t>sustainable business</t>
  </si>
  <si>
    <t>circular economy</t>
  </si>
  <si>
    <t>collaboration</t>
  </si>
  <si>
    <t>corporate finance</t>
  </si>
  <si>
    <t>crisis situations</t>
  </si>
  <si>
    <t>csr</t>
  </si>
  <si>
    <t>dynamic of systems</t>
  </si>
  <si>
    <t>entrepreneurial satisfaction</t>
  </si>
  <si>
    <t>environmental dynamism</t>
  </si>
  <si>
    <t>firm performance</t>
  </si>
  <si>
    <t>flood</t>
  </si>
  <si>
    <t>green intellectual capital</t>
  </si>
  <si>
    <t>mobile apps</t>
  </si>
  <si>
    <t>model</t>
  </si>
  <si>
    <t>multiple criteria decision-making (mcdm)</t>
  </si>
  <si>
    <t>open innovation</t>
  </si>
  <si>
    <t>organizational change</t>
  </si>
  <si>
    <t>risk mitigation</t>
  </si>
  <si>
    <t>social sustainability</t>
  </si>
  <si>
    <t>stakeholder engagement</t>
  </si>
  <si>
    <t>structural capital</t>
  </si>
  <si>
    <t>structural equation modeling (sem)</t>
  </si>
  <si>
    <t>sustainability assessment</t>
  </si>
  <si>
    <t>typology</t>
  </si>
  <si>
    <t>business continuity</t>
  </si>
  <si>
    <t>covid-19</t>
  </si>
  <si>
    <t>resilience</t>
  </si>
  <si>
    <t>disaster recovery</t>
  </si>
  <si>
    <t>pandemic</t>
  </si>
  <si>
    <t>industry 4.0</t>
  </si>
  <si>
    <t>value creation</t>
  </si>
  <si>
    <t>business continuity planning (bcp)</t>
  </si>
  <si>
    <t>business models</t>
  </si>
  <si>
    <t>critical infrastructure</t>
  </si>
  <si>
    <t>efficiency</t>
  </si>
  <si>
    <t>implementation</t>
  </si>
  <si>
    <t>management information systems</t>
  </si>
  <si>
    <t>artificial intelligence (ai)</t>
  </si>
  <si>
    <t>business longevity</t>
  </si>
  <si>
    <t>customer engagement</t>
  </si>
  <si>
    <t>data centers</t>
  </si>
  <si>
    <t>disaster</t>
  </si>
  <si>
    <t>earthquake</t>
  </si>
  <si>
    <t>effectiveness</t>
  </si>
  <si>
    <t>emergency</t>
  </si>
  <si>
    <t>higher education</t>
  </si>
  <si>
    <t>management systems</t>
  </si>
  <si>
    <t>omnichannel</t>
  </si>
  <si>
    <t>pacs</t>
  </si>
  <si>
    <t>protective measures</t>
  </si>
  <si>
    <t>small and medium enterprises (smes)</t>
  </si>
  <si>
    <t>supply chain coordination</t>
  </si>
  <si>
    <t>survey</t>
  </si>
  <si>
    <t>system</t>
  </si>
  <si>
    <t>the 2011 off the pacific coast of tohoku earthquake</t>
  </si>
  <si>
    <t>workforce</t>
  </si>
  <si>
    <t>sustainability</t>
  </si>
  <si>
    <t>business</t>
  </si>
  <si>
    <t>corporate social responsibility</t>
  </si>
  <si>
    <t>performance</t>
  </si>
  <si>
    <t>environmental</t>
  </si>
  <si>
    <t>productivity</t>
  </si>
  <si>
    <t>quality</t>
  </si>
  <si>
    <t>small and medium-sized enterprises</t>
  </si>
  <si>
    <t>small business</t>
  </si>
  <si>
    <t>women</t>
  </si>
  <si>
    <t>competency</t>
  </si>
  <si>
    <t>ecology</t>
  </si>
  <si>
    <t>environment</t>
  </si>
  <si>
    <t>learning</t>
  </si>
  <si>
    <t>management</t>
  </si>
  <si>
    <t>pls-sem</t>
  </si>
  <si>
    <t>social</t>
  </si>
  <si>
    <t>tourism</t>
  </si>
  <si>
    <t>assessment</t>
  </si>
  <si>
    <t>board of directors</t>
  </si>
  <si>
    <t>chatgpt</t>
  </si>
  <si>
    <t>company</t>
  </si>
  <si>
    <t>continuous improvement</t>
  </si>
  <si>
    <t>corporate reputation</t>
  </si>
  <si>
    <t>corporate sustainability index</t>
  </si>
  <si>
    <t>digitalization</t>
  </si>
  <si>
    <t>disruptive innovation</t>
  </si>
  <si>
    <t>e-commerce</t>
  </si>
  <si>
    <t>energy matrix</t>
  </si>
  <si>
    <t>entrepreneurs</t>
  </si>
  <si>
    <t>factor analysis</t>
  </si>
  <si>
    <t>finance</t>
  </si>
  <si>
    <t>ict</t>
  </si>
  <si>
    <t>indicators</t>
  </si>
  <si>
    <t>innovation capability</t>
  </si>
  <si>
    <t>integration</t>
  </si>
  <si>
    <t>internet</t>
  </si>
  <si>
    <t>investment</t>
  </si>
  <si>
    <t>knowledge</t>
  </si>
  <si>
    <t>maturity model</t>
  </si>
  <si>
    <t>motivation</t>
  </si>
  <si>
    <t>perceived value</t>
  </si>
  <si>
    <t>rural</t>
  </si>
  <si>
    <t>satisfaction</t>
  </si>
  <si>
    <t>stakeholder</t>
  </si>
  <si>
    <t>sustainability reports</t>
  </si>
  <si>
    <t>sustainable business performance</t>
  </si>
  <si>
    <t>sustainable performance</t>
  </si>
  <si>
    <t>technology</t>
  </si>
  <si>
    <t>toe framework</t>
  </si>
  <si>
    <t>triple bottom line</t>
  </si>
  <si>
    <t>turbulence</t>
  </si>
  <si>
    <t>business continuity management</t>
  </si>
  <si>
    <t>risk management</t>
  </si>
  <si>
    <t>bcm</t>
  </si>
  <si>
    <t>business continuity plan</t>
  </si>
  <si>
    <t>bcp</t>
  </si>
  <si>
    <t>organizational resilience</t>
  </si>
  <si>
    <t>covid-19 pandemic</t>
  </si>
  <si>
    <t>iso 22301</t>
  </si>
  <si>
    <t>business continuity planning</t>
  </si>
  <si>
    <t>strategy</t>
  </si>
  <si>
    <t>supply chain</t>
  </si>
  <si>
    <t>crisis management</t>
  </si>
  <si>
    <t>small and medium enterprises</t>
  </si>
  <si>
    <t>supply chain resilience</t>
  </si>
  <si>
    <t>business impact analysis</t>
  </si>
  <si>
    <t>disasters</t>
  </si>
  <si>
    <t>framework</t>
  </si>
  <si>
    <t>information and communication technology</t>
  </si>
  <si>
    <t>information systems</t>
  </si>
  <si>
    <t>organisational resilience</t>
  </si>
  <si>
    <t>organizational culture</t>
  </si>
  <si>
    <t>recovery</t>
  </si>
  <si>
    <t>airport</t>
  </si>
  <si>
    <t>apec</t>
  </si>
  <si>
    <t>disaster preparedness</t>
  </si>
  <si>
    <t>disruptions</t>
  </si>
  <si>
    <t>employee engagement</t>
  </si>
  <si>
    <t>it governance</t>
  </si>
  <si>
    <t>itil</t>
  </si>
  <si>
    <t>literature review</t>
  </si>
  <si>
    <t>measurement</t>
  </si>
  <si>
    <t>mining</t>
  </si>
  <si>
    <t>organizational sustainability</t>
  </si>
  <si>
    <t>public sector</t>
  </si>
  <si>
    <t>sri lanka</t>
  </si>
  <si>
    <t>supply chain disruptions</t>
  </si>
  <si>
    <t>supply chain management</t>
  </si>
  <si>
    <t>systematic literature review</t>
  </si>
  <si>
    <t>tqm</t>
  </si>
  <si>
    <t>tsunami</t>
  </si>
  <si>
    <t>business continuity management (bcm)</t>
  </si>
  <si>
    <t>business continuity plan (bcp)</t>
  </si>
  <si>
    <t>risk assessment</t>
  </si>
  <si>
    <t>questionnaire survey</t>
  </si>
  <si>
    <t>business impact analysis (bia)</t>
  </si>
  <si>
    <t>event tree</t>
  </si>
  <si>
    <t>event tree (et)</t>
  </si>
  <si>
    <t>liquefaction</t>
  </si>
  <si>
    <t>occurrence frequency</t>
  </si>
  <si>
    <t>recovery time</t>
  </si>
  <si>
    <t>safety barrier</t>
  </si>
  <si>
    <t>slope failure</t>
  </si>
  <si>
    <t>supply chain cooperation</t>
  </si>
  <si>
    <t>the great east japan earthquake</t>
  </si>
  <si>
    <t>the mid niigata prefecture earthquake in 2004</t>
  </si>
  <si>
    <t>risk</t>
  </si>
  <si>
    <t>business process management</t>
  </si>
  <si>
    <t>intelligent process automation</t>
  </si>
  <si>
    <t>robotic process automation</t>
  </si>
  <si>
    <t>absorptive capacity</t>
  </si>
  <si>
    <t>compliance</t>
  </si>
  <si>
    <t>governance</t>
  </si>
  <si>
    <t>adaptability</t>
  </si>
  <si>
    <t>gender</t>
  </si>
  <si>
    <t>alat tenun bukan mesin (atbm)</t>
  </si>
  <si>
    <t>gedogan traditional loom</t>
  </si>
  <si>
    <t>informal economy education</t>
  </si>
  <si>
    <t>emergency preparedness</t>
  </si>
  <si>
    <t>CallonCentrality</t>
  </si>
  <si>
    <t>CallonDensity</t>
  </si>
  <si>
    <t>RankCentrality</t>
  </si>
  <si>
    <t>RankDensity</t>
  </si>
  <si>
    <t>ClusterFrequency</t>
  </si>
  <si>
    <t>DOI</t>
  </si>
  <si>
    <t>Title</t>
  </si>
  <si>
    <t>TotalCitation</t>
  </si>
  <si>
    <t>TCperYear</t>
  </si>
  <si>
    <t>NTC</t>
  </si>
  <si>
    <t>SR</t>
  </si>
  <si>
    <t>Assigned_cluster</t>
  </si>
  <si>
    <t>pagerank</t>
  </si>
  <si>
    <t>&lt;a href="https://doi.org/10.35530/IT.073.02.202056" target="_blank"&gt;10.35530/IT.073.02.202056&lt;/a&gt;</t>
  </si>
  <si>
    <t>SULOLIPU A;SOETJIPTO B;WAHYONO H;HARYONO A</t>
  </si>
  <si>
    <t>SILK WEAVING BUSINESS SUSTAINABILITY AS A CULTURAL HERITAGE OF INDONESIA: A CASE STUDY IN WAJO REGENCY, SOUTH SULAWESI</t>
  </si>
  <si>
    <t>SULOLIPU A, 2022, IND TEXTILA</t>
  </si>
  <si>
    <t>&lt;a href="https://doi.org/10.35530//IT.073.02.202056" target="_blank"&gt;10.35530//IT.073.02.202056&lt;/a&gt;</t>
  </si>
  <si>
    <t>SILK WEAVING BUSINESS SUSTAINABILITY AS A CULTURAL HERITAGE OF INDONESIA: A CASE STUDY IN WAJO REGENCY, SOUTH SULAWESI [SUSTENABILITATEA AFACERILOR CU ȚESĂTURI DIN MĂTASE CA MOȘTENIRE CULTURALĂ A INDONEZIEI: UN STUDIU DE CAZ ÎN REGENȚA WAJO, SULAWESI DE SUD]</t>
  </si>
  <si>
    <t>SULOLIPU A, 2022, IND TEXTILA-a</t>
  </si>
  <si>
    <t>&lt;a href="https://doi.org/10.1017/S0260210524000500" target="_blank"&gt;10.1017/S0260210524000500&lt;/a&gt;</t>
  </si>
  <si>
    <t>HOLMES G;NEWNHAM S</t>
  </si>
  <si>
    <t>BUSINESS CONTINUITY, BUREAUCRATIC RESILIENCE AND THE LIMITATIONS OF NEOLIBERAL SURVIVAL LOGICS IN INTERNATIONAL ORGANISATIONS</t>
  </si>
  <si>
    <t>HOLMES G, 2024, REV INT STUD</t>
  </si>
  <si>
    <t>&lt;a href="https://doi.org/10.1016/j.ijinfomgt.2019.04.010" target="_blank"&gt;10.1016/j.ijinfomgt.2019.04.010&lt;/a&gt;</t>
  </si>
  <si>
    <t>NIEMIMAA M;JÄRVELÄINEN J;HEIKKILÄ M;HEIKKILÄ J</t>
  </si>
  <si>
    <t>BUSINESS CONTINUITY OF BUSINESS MODELS: EVALUATING THE RESILIENCE OF BUSINESS MODELS FOR CONTINGENCIES</t>
  </si>
  <si>
    <t>NIEMIMAA M, 2019, INT J INFORM MANAGE</t>
  </si>
  <si>
    <t>&lt;a href="https://doi.org/10.1016/j.bushor.2021.02.020" target="_blank"&gt;10.1016/j.bushor.2021.02.020&lt;/a&gt;</t>
  </si>
  <si>
    <t>MARGHERITA A;HEIKKILÄ M</t>
  </si>
  <si>
    <t>BUSINESS CONTINUITY IN THE COVID-19 EMERGENCY: A FRAMEWORK OF ACTIONS UNDERTAKEN BY WORLD-LEADING COMPANIES</t>
  </si>
  <si>
    <t>MARGHERITA A, 2021, BUS HORIZONS</t>
  </si>
  <si>
    <t>&lt;a href="https://doi.org/10.1108/09685220410553541" target="_blank"&gt;10.1108/09685220410553541&lt;/a&gt;</t>
  </si>
  <si>
    <t>BOTHA J;VON S R</t>
  </si>
  <si>
    <t>A CYCLIC APPROACH TO BUSINESS CONTINUITY PLANNING</t>
  </si>
  <si>
    <t>BOTHA J, 2004, INF MANAGE COMPUT SECUR</t>
  </si>
  <si>
    <t>&lt;a href="https://doi.org/10.3390/su12125067" target="_blank"&gt;10.3390/su12125067&lt;/a&gt;</t>
  </si>
  <si>
    <t>LEÓN-QUISMONDO J;GARCÍA-UNANUE J;BURILLO P</t>
  </si>
  <si>
    <t>BEST PRACTICES FOR FITNESS CENTER BUSINESS SUSTAINABILITY: A QUALITATIVE VISION</t>
  </si>
  <si>
    <t>LEÓN-QUISMONDO J, 2020, SUSTAINABILITY-BASEL</t>
  </si>
  <si>
    <t>&lt;a href="https://doi.org/10.3390/su132212369" target="_blank"&gt;10.3390/su132212369&lt;/a&gt;</t>
  </si>
  <si>
    <t>TRABUCCO M;DE G P</t>
  </si>
  <si>
    <t>ACHIEVING RESILIENCE AND BUSINESS SUSTAINABILITY DURING COVID-19: THE ROLE OF LEAN SUPPLY CHAIN PRACTICES AND DIGITALIZATION</t>
  </si>
  <si>
    <t>TRABUCCO M, 2021, SUSTAINABILITY-BASEL</t>
  </si>
  <si>
    <t>&lt;a href="https://doi.org/10.1177/1467358421993875" target="_blank"&gt;10.1177/1467358421993875&lt;/a&gt;</t>
  </si>
  <si>
    <t>HEMMINGTON N;NEILL L</t>
  </si>
  <si>
    <t>HOSPITALITY BUSINESS LONGEVITY UNDER COVID-19: THE IMPACT OF COVID-19 ON NEW ZEALAND'S HOSPITALITY INDUSTRY</t>
  </si>
  <si>
    <t>HEMMINGTON N, 2022, TOUR HOSP RES</t>
  </si>
  <si>
    <t>&lt;a href="https://doi.org/10.3390/su131810481" target="_blank"&gt;10.3390/su131810481&lt;/a&gt;</t>
  </si>
  <si>
    <t>ONG A;PRASETYO Y;PICAZO K;SALVADOR K;MIRAJA B;KURATA Y;CHUENYINDEE T;NADLIFATIN R;REDI A;YOUNG M</t>
  </si>
  <si>
    <t>GYM-GOERS PREFERENCE ANALYSIS OF FITNESS CENTERS DURING THE COVID-19 PANDEMIC: A CONJOINT ANALYSIS APPROACH FOR BUSINESS SUSTAINABILITY</t>
  </si>
  <si>
    <t>ONG A, 2021, SUSTAINABILITY-BASEL</t>
  </si>
  <si>
    <t>&lt;a href="https://doi.org/10.3390/su132111971" target="_blank"&gt;10.3390/su132111971&lt;/a&gt;</t>
  </si>
  <si>
    <t>HUSSAIN A;FAROOQ M;HABIB M;MASOOD T;PRUNCU C</t>
  </si>
  <si>
    <t>COVID-19 CHALLENGES: CAN INDUSTRY 4.0 TECHNOLOGIES HELP WITH BUSINESS CONTINUITY?</t>
  </si>
  <si>
    <t>HUSSAIN A, 2021, SUSTAINABILITY-BASEL</t>
  </si>
  <si>
    <t>&lt;a href="https://doi.org/10.1016/j.ssci.2021.105161" target="_blank"&gt;10.1016/j.ssci.2021.105161&lt;/a&gt;</t>
  </si>
  <si>
    <t>GALBUSERA L;CARDARILLI M;GIANNOPOULOS G</t>
  </si>
  <si>
    <t>THE ERNCIP SURVEY ON COVID-19: EMERGENCY &amp; BUSINESS CONTINUITY FOR FOSTERING RESILIENCE IN CRITICAL INFRASTRUCTURES</t>
  </si>
  <si>
    <t>GALBUSERA L, 2021, SAFETY SCI</t>
  </si>
  <si>
    <t>&lt;a href="https://doi.org/10.3390/asi3040051" target="_blank"&gt;10.3390/asi3040051&lt;/a&gt;</t>
  </si>
  <si>
    <t>RASIAH R;KAUR H;GUPTAN V</t>
  </si>
  <si>
    <t>BUSINESS CONTINUITY PLAN IN THE HIGHER EDUCATION INDUSTRY: UNIVERSITY STUDENTS' PERCEPTIONS OF THE EFFECTIVENESS OF ACADEMIC CONTINUITY PLANS DURING COVID-19 PANDEMIC</t>
  </si>
  <si>
    <t>RASIAH R, 2020, APPL SYST INNOV</t>
  </si>
  <si>
    <t>&lt;a href="https://doi.org/10.1016/j.trpro.2020.11.008" target="_blank"&gt;10.1016/j.trpro.2020.11.008&lt;/a&gt;</t>
  </si>
  <si>
    <t>SERRANO F;KAZDA A</t>
  </si>
  <si>
    <t>BUSINESS CONTINUITY DURING PANDEMICS - LESSONS LEARNED ABOUT AIRPORT PERSONNEL</t>
  </si>
  <si>
    <t>SERRANO F, 2020, TRANSP RES PROCEDIA</t>
  </si>
  <si>
    <t>&lt;a href="https://doi.org/10.1111/fcsr.12434" target="_blank"&gt;10.1111/fcsr.12434&lt;/a&gt;</t>
  </si>
  <si>
    <t>CHILDS M;TURNER T;SNEED C;BERRY A</t>
  </si>
  <si>
    <t>A CONTINGENCY THEORY APPROACH TO UNDERSTANDING SMALL RETAIL BUSINESS CONTINUITY DURING COVID-19</t>
  </si>
  <si>
    <t>CHILDS M, 2022, FAM CONSUM SCI RES J</t>
  </si>
  <si>
    <t>&lt;a href="https://doi.org/10.3390/su10124698" target="_blank"&gt;10.3390/su10124698&lt;/a&gt;</t>
  </si>
  <si>
    <t>CHEN M;WU Y;TSAI K</t>
  </si>
  <si>
    <t>BUILDING AN INDUSTRY-ORIENTED BUSINESS SUSTAINABILITY CURRICULUM IN HIGHER EDUCATION</t>
  </si>
  <si>
    <t>CHEN M, 2018, SUSTAINABILITY-BASEL</t>
  </si>
  <si>
    <t>&lt;a href="https://doi.org/10.3390/su13137422" target="_blank"&gt;10.3390/su13137422&lt;/a&gt;</t>
  </si>
  <si>
    <t>DOBROVIC J;CABINOVÁ V;GALLO P;PARTLOVÁ P;VÁCHAL J;BALOGOVÁ B;ORGONÁS J</t>
  </si>
  <si>
    <t>APPLICATION OF THE DEA MODEL IN TOURISM SMES: AN EMPIRICAL STUDY FROM SLOVAKIA IN THE CONTEXT OF BUSINESS SUSTAINABILITY</t>
  </si>
  <si>
    <t>DOBROVIC J, 2021, SUSTAINABILITY-BASEL</t>
  </si>
  <si>
    <t>&lt;a href="https://doi.org/10.1017/aae.2018.37" target="_blank"&gt;10.1017/aae.2018.37&lt;/a&gt;</t>
  </si>
  <si>
    <t>THOMPSON J;PENDELL D;BOYER T;PATYK K;MALLADI S;WEAVER J</t>
  </si>
  <si>
    <t>ECONOMIC IMPACTS OF BUSINESS CONTINUITY ON AN OUTBREAK OF HIGHLY PATHOGENIC AVIAN INFLUENZA IN MINNESOTA EGG LAYING OPERATIONS</t>
  </si>
  <si>
    <t>THOMPSON J, 2019, J AGRIC APPL ECON</t>
  </si>
  <si>
    <t>&lt;a href="https://doi.org/10.1007/s11356-021-16683-4" target="_blank"&gt;10.1007/s11356-021-16683-4&lt;/a&gt;</t>
  </si>
  <si>
    <t>KAUR A;KUMAR A;LUTHRA S</t>
  </si>
  <si>
    <t>BUSINESS CONTINUITY THROUGH CUSTOMER ENGAGEMENT IN SUSTAINABLE SUPPLY CHAIN MANAGEMENT: OUTLINING THE ENABLERS TO MANAGE DISRUPTION</t>
  </si>
  <si>
    <t>KAUR A, 2022, ENVIRON SCI POLLUT R</t>
  </si>
  <si>
    <t>&lt;a href="https://doi.org/10.1016/j.proeng.2015.06.068" target="_blank"&gt;10.1016/j.proeng.2015.06.068&lt;/a&gt;</t>
  </si>
  <si>
    <t>SCHÄTTER F;HANSEN O;HERRMANNSDÖRFER M;WIENS M;SCHULTMANN F</t>
  </si>
  <si>
    <t>CONCEPTION OF A SIMULATION MODEL FOR BUSINESS CONTINUITY MANAGEMENT AGAINST FOOD SUPPLY CHAIN DISRUPTIONS</t>
  </si>
  <si>
    <t>SCHÄTTER F, 2015, PROCEDIA ENG</t>
  </si>
  <si>
    <t>&lt;a href="https://doi.org/10.1302/2633-1462.16.BJO-2020-0036.R1" target="_blank"&gt;10.1302/2633-1462.16.BJO-2020-0036.R1&lt;/a&gt;</t>
  </si>
  <si>
    <t>LIOW M;TAY K;YEO N;TAY D;GOH S;KOH J;HOWE T;TAN A</t>
  </si>
  <si>
    <t>FROM "BUSINESS CONTINUITY" TO "BACK TO BUSINESS" FOR ORTHOPAEDIC SURGEONS DURING THE COVID-19 PANDEMIC</t>
  </si>
  <si>
    <t>LIOW M, 2020, BONE JOINT OPEN</t>
  </si>
  <si>
    <t>&lt;a href="https://doi.org/10.5430/ijhe.v9n6p118" target="_blank"&gt;10.5430/ijhe.v9n6p118&lt;/a&gt;</t>
  </si>
  <si>
    <t>ALSHAMSI A;MOHAIDAT J;HINAI N;SAMY A</t>
  </si>
  <si>
    <t>INSTRUCTIONAL AND BUSINESS CONTINUITY AMID AND BEYOND COVID-19 OUTBREAK: A CASE STUDY FROM THE HIGHER COLLEGES OF TECHNOLOGY</t>
  </si>
  <si>
    <t>ALSHAMSI A, 2020, INTL J HIGH EDU</t>
  </si>
  <si>
    <t>&lt;a href="https://doi.org/10.1109/CAIS.2018.8442005" target="_blank"&gt;10.1109/CAIS.2018.8442005&lt;/a&gt;</t>
  </si>
  <si>
    <t>AL-SHAMMARI M;ALWAN A</t>
  </si>
  <si>
    <t>DISASTER RECOVERY AND BUSINESS CONTINUITY FOR DATABASE SERVICES IN MULTI-CLOUD</t>
  </si>
  <si>
    <t>AL-SHAMMARI M, 2018, INT CONF COMPUT APPL INF SECUR, ICCAIS</t>
  </si>
  <si>
    <t>&lt;a href="https://doi.org/10.1016/j.ijdrr.2022.102863" target="_blank"&gt;10.1016/j.ijdrr.2022.102863&lt;/a&gt;</t>
  </si>
  <si>
    <t>KOSIERADZKA A;SMAGOWICZ J;SZWED C</t>
  </si>
  <si>
    <t>ENSURING THE BUSINESS CONTINUITY OF PRODUCTION COMPANIES IN CONDITIONS OF COVID-19 PANDEMIC IN POLAND-APPLIED MEASURES ANALYSIS</t>
  </si>
  <si>
    <t>KOSIERADZKA A, 2022, INT J DISAST RISK RE</t>
  </si>
  <si>
    <t>&lt;a href="https://doi.org/10.1007/s10278-013-9625-4" target="_blank"&gt;10.1007/s10278-013-9625-4&lt;/a&gt;</t>
  </si>
  <si>
    <t>MANSOORI B;ROSIPKO B;ERHARD K;SUNSHINE J</t>
  </si>
  <si>
    <t>DESIGN AND IMPLEMENTATION OF DISASTER RECOVERY AND BUSINESS CONTINUITY SOLUTION FOR RADIOLOGY PACS</t>
  </si>
  <si>
    <t>MANSOORI B, 2014, J DIGIT IMAGING</t>
  </si>
  <si>
    <t>&lt;a href="https://doi.org/10.1002/prs.12302" target="_blank"&gt;10.1002/prs.12302&lt;/a&gt;</t>
  </si>
  <si>
    <t>PANDEMIC RISK MANAGEMENT; PROTECTING PEOPLE WHILE ENSURING BUSINESS CONTINUITY</t>
  </si>
  <si>
    <t>SNEDDON J, 2022, PROCESS SAF PROG</t>
  </si>
  <si>
    <t>&lt;a href="https://doi.org/10.1007/s10278-012-9504-4" target="_blank"&gt;10.1007/s10278-012-9504-4&lt;/a&gt;</t>
  </si>
  <si>
    <t>KOLOWITZ B;LAURO G;BARKEY C;BLACK H;LIGHT K;DEIBLE C</t>
  </si>
  <si>
    <t>WORKFLOW CONTINUITY-MOVING BEYOND BUSINESS CONTINUITY IN A MULTISITE 24-7 HEALTHCARE ORGANIZATION</t>
  </si>
  <si>
    <t>KOLOWITZ B, 2012, J DIGIT IMAGING</t>
  </si>
  <si>
    <t>&lt;a href="https://doi.org/10.47836/pjssh.29.S2.16" target="_blank"&gt;10.47836/pjssh.29.S2.16&lt;/a&gt;</t>
  </si>
  <si>
    <t>HASSAN N;ZAILANI S;ABU H H</t>
  </si>
  <si>
    <t>A META-ANALYSIS OF INTEGRATED INTERNAL AUDIT MANAGEMENT EFFECTIVENESS TOWARDS BUSINESS SUSTAINABILITY</t>
  </si>
  <si>
    <t>HASSAN N, 2021, PERTANIKA J SOC SCI</t>
  </si>
  <si>
    <t>&lt;a href="https://doi.org/10.33168/JSMS.2023.0118" target="_blank"&gt;10.33168/JSMS.2023.0118&lt;/a&gt;</t>
  </si>
  <si>
    <t>ANDI R;UTAMA D</t>
  </si>
  <si>
    <t>BUSINESS CONTINUITY MANAGEMENT FRAMEWORK IN ELECTRONIC SYSTEM PROVIDER (ESP) STARTUP COMPANY</t>
  </si>
  <si>
    <t>ANDI R, 2023, J SYST MANAG SCI</t>
  </si>
  <si>
    <t>&lt;a href="https://doi.org/10.25046/AJ0506101" target="_blank"&gt;10.25046/AJ0506101&lt;/a&gt;</t>
  </si>
  <si>
    <t>RUSSO N;REIS L</t>
  </si>
  <si>
    <t>UPDATED ANALYSIS OF BUSINESS CONTINUITY ISSUES UNDERLYING THE CERTIFICATION OF INVOICING SOFTWARE, CONSIDERING A PANDEMIC SCENARIO</t>
  </si>
  <si>
    <t>RUSSO N, 2020, ADV SCI, TECHNOL ENG SYST</t>
  </si>
  <si>
    <t>&lt;a href="https://doi.org/10.1504/IJEPEE.2023.129785" target="_blank"&gt;10.1504/IJEPEE.2023.129785&lt;/a&gt;</t>
  </si>
  <si>
    <t>FAKHOURY A;FAKIH A</t>
  </si>
  <si>
    <t>GOVERNMENT INTERVENTION AND BUSINESS RESPONSE AS DETERMINANTS OF BUSINESS CONTINUITY AMID COVID-19: THE CASE OF JORDAN AND MOROCCO</t>
  </si>
  <si>
    <t>FAKHOURY A, 2023, INT J ECON POLICY EMERG ECON</t>
  </si>
  <si>
    <t>&lt;a href="https://doi.org/10.1016/j.ifacol.2021.08.136" target="_blank"&gt;10.1016/j.ifacol.2021.08.136&lt;/a&gt;</t>
  </si>
  <si>
    <t>FRIKHA G;LAMINE E;KAMISSOKO D;BENABEN F;PINGAUD H</t>
  </si>
  <si>
    <t>TOWARD A MODELING TOOL FOR BUSINESS CONTINUITY MANAGEMENT</t>
  </si>
  <si>
    <t>FRIKHA G, 2021, IFAC-PAPERSONLINE</t>
  </si>
  <si>
    <t>&lt;a href="https://doi.org/10.20965/jdr.2021.p0031" target="_blank"&gt;10.20965/jdr.2021.p0031&lt;/a&gt;</t>
  </si>
  <si>
    <t>GOROMARU H;KOKOGAWA T;UEDA Y;FUKAYA S</t>
  </si>
  <si>
    <t>STUDY OF NEW NORMAL BUSINESS CONTINUITY TO IMPROVE RESILIENCE AGAINST UNCERTAIN THREAT</t>
  </si>
  <si>
    <t>GOROMARU H, 2021, J DISASTER RES</t>
  </si>
  <si>
    <t>&lt;a href="https://doi.org/10.1007/978-3-319-45507-5_11" target="_blank"&gt;10.1007/978-3-319-45507-5_11&lt;/a&gt;</t>
  </si>
  <si>
    <t>FURFARO A;GALLO T;SACCÀ D</t>
  </si>
  <si>
    <t>MODELING CYBER SYSTEMIC RISK FOR THE BUSINESS CONTINUITY PLAN OF A BANK</t>
  </si>
  <si>
    <t>FURFARO A, 2016, LECT NOTES COMPUT SCI</t>
  </si>
  <si>
    <t>&lt;a href="https://doi.org/10.1111/1468-5973.12501" target="_blank"&gt;10.1111/1468-5973.12501&lt;/a&gt;</t>
  </si>
  <si>
    <t>STEEN R;HAUG O;PATRIARCA R</t>
  </si>
  <si>
    <t>BUSINESS CONTINUITY AND RESILIENCE MANAGEMENT: A CONCEPTUAL FRAMEWORK</t>
  </si>
  <si>
    <t>STEEN R, 2024, J CONTING CRISIS MAN</t>
  </si>
  <si>
    <t>&lt;a href="https://doi.org/10.1007/s11115-022-00687-w" target="_blank"&gt;10.1007/s11115-022-00687-w&lt;/a&gt;</t>
  </si>
  <si>
    <t>BAWOLE J;LANGNEL Z</t>
  </si>
  <si>
    <t>ADMINISTRATIVE REFORMS IN THE GHANAIAN PUBLIC SERVICES FOR GOVERNMENT BUSINESS CONTINUITY DURING THE COVID-19 CRISIS</t>
  </si>
  <si>
    <t>BAWOLE J, 2023, PUBLIC ORGAN REV</t>
  </si>
  <si>
    <t>&lt;a href="https://doi.org/10.3390/su14159507" target="_blank"&gt;10.3390/su14159507&lt;/a&gt;</t>
  </si>
  <si>
    <t>PURCARU I;URDEA A;CONSTANTIN C;BRATUCU G</t>
  </si>
  <si>
    <t>BUILDING LONG-TERM BUSINESS SUSTAINABILITY: THE INFLUENCE OF EXPERIENTIAL MARKETING ON SALES REPRESENTATIVES' LOYALTY TO MULTI-LEVEL MARKETING SYSTEMS</t>
  </si>
  <si>
    <t>PURCARU I, 2022, SUSTAINABILITY-BASEL</t>
  </si>
  <si>
    <t>&lt;a href="https://doi.org/10.37055/slw/145860" target="_blank"&gt;10.37055/slw/145860&lt;/a&gt;</t>
  </si>
  <si>
    <t>ZASKÓRSKI P;MISZALSKI W</t>
  </si>
  <si>
    <t>LOGISTIC BUSINESS CONTINUITY IN TERMOS OD INFORMATION EFFICIENCY [LOGISTYCZNA CIAGLOSC DZIALANIA W ASPEKCIE SPRAWNOSCI INFORMACYJNEJ]</t>
  </si>
  <si>
    <t>ZASKÓRSKI P, 2021, SLW</t>
  </si>
  <si>
    <t>&lt;a href="https://doi.org/10.3390/su151813531" target="_blank"&gt;10.3390/su151813531&lt;/a&gt;</t>
  </si>
  <si>
    <t>MEECHANG K;WATANABE K</t>
  </si>
  <si>
    <t>MODELING TO ACHIEVE AREA BUSINESS CONTINUITY MANAGEMENT IMPLEMENTATION VIA A FUZZY COGNITIVE MAP</t>
  </si>
  <si>
    <t>MEECHANG K, 2023, SUSTAINABILITY-BASEL</t>
  </si>
  <si>
    <t>&lt;a href="https://doi.org/10.20965/jdr.2023.p0513" target="_blank"&gt;10.20965/jdr.2023.p0513&lt;/a&gt;</t>
  </si>
  <si>
    <t>IMPLEMENTING AREA BUSINESS CONTINUITY MANAGEMENT FOR LARGE-SCALE DISASTER: A TOTAL INTERPRETIVE STRUCTURAL MODELING APPROACH</t>
  </si>
  <si>
    <t>MEECHANG K, 2023, J DISASTER RES</t>
  </si>
  <si>
    <t>&lt;a href="https://doi.org/10.3390/risks12020019" target="_blank"&gt;10.3390/risks12020019&lt;/a&gt;</t>
  </si>
  <si>
    <t>KALOGIANNIDIS S;KALFAS D;PAPAEVANGELOU O;GIANNARAKIS G;CHATZITHEODORIDIS F</t>
  </si>
  <si>
    <t>THE ROLE OF ARTIFICIAL INTELLIGENCE TECHNOLOGY IN PREDICTIVE RISK ASSESSMENT FOR BUSINESS CONTINUITY: A CASE STUDY OF GREECE</t>
  </si>
  <si>
    <t>KALOGIANNIDIS S, 2024, RISKS</t>
  </si>
  <si>
    <t>&lt;a href="https://doi.org/10.31387/oscm0540394" target="_blank"&gt;10.31387/oscm0540394&lt;/a&gt;</t>
  </si>
  <si>
    <t>ABDUL R N;LIRN T;HAMID A;SAID A K</t>
  </si>
  <si>
    <t>LOGISTICS BUSINESS SUSTAINABILITY INCORPORATING NATIONAL LOGISTICS STRATEGY AND INDUSTRY REVOLUTION 4.0</t>
  </si>
  <si>
    <t>ABDUL R N, 2023, OPERATIONS SUPPLY CHAIN MANAG</t>
  </si>
  <si>
    <t>&lt;a href="https://doi.org/10.18280/ijsdp.170612" target="_blank"&gt;10.18280/ijsdp.170612&lt;/a&gt;</t>
  </si>
  <si>
    <t>HANDOYO E;WIJAYANTI T;EKANINGSIH L;PUSPITA M</t>
  </si>
  <si>
    <t>ECONOMY IMPACT OF THE COVID-19 PREVENTION POLICY ON BUSINESS CONTINUITY AND WELFARE OF STREET VENDORS</t>
  </si>
  <si>
    <t>HANDOYO E, 2022, INT J SUSTAINABLE DEV PLANN</t>
  </si>
  <si>
    <t>&lt;a href="https://doi.org/10.3130/aije.79.535" target="_blank"&gt;10.3130/aije.79.535&lt;/a&gt;</t>
  </si>
  <si>
    <t>DEVELOPMENT OF BUILDING CONTINUITY SUPPORT SYSTEM AS BUILDING MANAGEMENT SYSTEM FOR BUSINESS CONTINUITY: FUNDAMENTAL RESEARCH ON IMPLEMENTATION OF RESILIENT BUILDINGS</t>
  </si>
  <si>
    <t>MASUDA Y, 2014, J ENVIRON ENG</t>
  </si>
  <si>
    <t>&lt;a href="https://doi.org/10.3130/jaabe.8.259" target="_blank"&gt;10.3130/jaabe.8.259&lt;/a&gt;</t>
  </si>
  <si>
    <t>MASUDA Y;HORI E;TAKAHASHI N;OJIMA T</t>
  </si>
  <si>
    <t>FIELD SURVEY OF THE EMERGENCY POWER SUPPLY RELATED TO BUSINESS CONTINUITY</t>
  </si>
  <si>
    <t>MASUDA Y, 2009, J ASIAN ARCHIT BUILD ENG</t>
  </si>
  <si>
    <t>&lt;a href="https://doi.org/10.4018/JITR.299928" target="_blank"&gt;10.4018/JITR.299928&lt;/a&gt;</t>
  </si>
  <si>
    <t>BUSINESS CONTINUITY IN DATA CENTERS AND SEISMIC ISOLATION APPLICATIONS</t>
  </si>
  <si>
    <t>ESEN M, 2022, J INF TECHNOL RES</t>
  </si>
  <si>
    <t>&lt;a href="https://doi.org/10.4102/sajbm.v55i1.4274" target="_blank"&gt;10.4102/sajbm.v55i1.4274&lt;/a&gt;</t>
  </si>
  <si>
    <t>ZAKE G;JONCK P;PELSER A</t>
  </si>
  <si>
    <t>A BUSINESS CONTINUITY MODEL FOR MANUFACTURING SMMES UNDERSCORING TALENT MANAGEMENT</t>
  </si>
  <si>
    <t>ZAKE G, 2024, S AFR J BUS MANAG</t>
  </si>
  <si>
    <t>&lt;a href="https://doi.org/10.1080/23750472.2023.2171903" target="_blank"&gt;10.1080/23750472.2023.2171903&lt;/a&gt;</t>
  </si>
  <si>
    <t>GOLDING A;PLUMLEY D;WILSON R</t>
  </si>
  <si>
    <t>INTRODUCING A MODEL OF BUSINESS SUSTAINABILITY IN ENGLISH PROFESSIONAL RUGBY UNION</t>
  </si>
  <si>
    <t>GOLDING A, 2023, MANAG SPORT LEIS</t>
  </si>
  <si>
    <t>&lt;a href="https://doi.org/10.2478/sbe-2023-0055" target="_blank"&gt;10.2478/sbe-2023-0055&lt;/a&gt;</t>
  </si>
  <si>
    <t>PANTA N;POPESCU N</t>
  </si>
  <si>
    <t>CHARTING THE COURSE OF AI IN BUSINESS SUSTAINABILITY: A BIBLIOMETRIC ANALYSIS</t>
  </si>
  <si>
    <t>PANTA N, 2023, STUD BUS ECON-ROM</t>
  </si>
  <si>
    <t>&lt;a href="https://doi.org/10.3390/ijfs11030086" target="_blank"&gt;10.3390/ijfs11030086&lt;/a&gt;</t>
  </si>
  <si>
    <t>STAVROPOULOU E;SPINTHIROPOULOS K;GAREFALAKIS A;RAGAZOU K;GONIDAKIS F</t>
  </si>
  <si>
    <t>THE ROLE OF SOCIAL BANKING IN THE SUCCESS AND SUSTAINABLE BUSINESS CONTINUITY OF SSMES</t>
  </si>
  <si>
    <t>STAVROPOULOU E, 2023, INT J FINANC STUD</t>
  </si>
  <si>
    <t>&lt;a href="https://doi.org/10.4401/AG-8559" target="_blank"&gt;10.4401/AG-8559&lt;/a&gt;</t>
  </si>
  <si>
    <t>FERREIRA M;OLIVEIRA C;LOPES M;DE S F;MUSACCHIO G;RUPAKHETY R;REITANO D;PAIS I</t>
  </si>
  <si>
    <t>USING NON-STRUCTURAL MITIGATION MEASURES TO MAINTAIN BUSINESS CONTINUITY: A MULTI-STAKEHOLDER ENGAGEMENT STRATEGY</t>
  </si>
  <si>
    <t>FERREIRA M, 2021, ANN GEOPHYS-ITALY</t>
  </si>
  <si>
    <t>&lt;a href="https://doi.org/10.3390/su15076005" target="_blank"&gt;10.3390/su15076005&lt;/a&gt;</t>
  </si>
  <si>
    <t>GAZZOLA V;MENONI S;GHIGNATTI P;MARINI A;MAURI R;OLDANI G</t>
  </si>
  <si>
    <t>ANALYSIS OF TERRITORIAL RISKS AND PROTECTION FACTORS FOR THE BUSINESS CONTINUITY OF DATA CENTERS</t>
  </si>
  <si>
    <t>GAZZOLA V, 2023, SUSTAINABILITY-BASEL</t>
  </si>
  <si>
    <t>&lt;a href="https://doi.org/10.3390/ijerph17124263" target="_blank"&gt;10.3390/ijerph17124263&lt;/a&gt;</t>
  </si>
  <si>
    <t>SHIBAMURA Y;SUDO N;MASHIRO G;BEPPU S;HAKAMATA R;SAITO K</t>
  </si>
  <si>
    <t>PERSONNEL TRAINING COURSE FOR BUSINESSES REGARDING THE RESPONSE TO STRANDED PERSONS FOCUSING ON VULNERABLE PEOPLE FROM THE PERSPECTIVE OF BUSINESS CONTINUITY</t>
  </si>
  <si>
    <t>SHIBAMURA Y, 2020, INT J ENV RES PUB HE</t>
  </si>
  <si>
    <t>&lt;a href="https://doi.org/10.5937/sjm17-35505" target="_blank"&gt;10.5937/sjm17-35505&lt;/a&gt;</t>
  </si>
  <si>
    <t>ABD S R;MOOI W;AHMAD M</t>
  </si>
  <si>
    <t>SMALL AND MEDIUM ENTERPRISES' BUSINESS SUSTAINABILITY BASED ON THE INDUSTRY 4.0 INTERNET OF THINGS ADOPTION: A MALAYSIAN BUMIPUTERA CASE STUDY</t>
  </si>
  <si>
    <t>ABD S R, 2022, SERB J MANAG</t>
  </si>
  <si>
    <t>&lt;a href="https://doi.org/10.3233/FAIA231235" target="_blank"&gt;10.3233/FAIA231235&lt;/a&gt;</t>
  </si>
  <si>
    <t>MA J;ZHAO L;ZHANG C</t>
  </si>
  <si>
    <t>RESEARCH ON BUSINESS CONTINUITY OF ELECTRIC POWER INFORMATION SYSTEM</t>
  </si>
  <si>
    <t>MA J, 2024, FRONT ARTIF INTELL APPL</t>
  </si>
  <si>
    <t>&lt;a href="https://doi.org/10.24874/PES.SI.02.016" target="_blank"&gt;10.24874/PES.SI.02.016&lt;/a&gt;</t>
  </si>
  <si>
    <t>YUGAI L;OTCHERTSOV M;AKOPOV S;DUSBAYEV I</t>
  </si>
  <si>
    <t>ENVIRONMENTAL COMPONENT OF PRODUCT QUALITY AS A MANIFESTATION OF INDUSTRY 4.0 BUSINESS SUSTAINABILITY: IMPLICATIONS FOR COMPETITIVENESS</t>
  </si>
  <si>
    <t>YUGAI L, 2023, PROC ENG SCI</t>
  </si>
  <si>
    <t>&lt;a href="https://doi.org/10.5220/0011837700003467" target="_blank"&gt;10.5220/0011837700003467&lt;/a&gt;</t>
  </si>
  <si>
    <t>PIRTA-DREIMANE R;GRABIS J</t>
  </si>
  <si>
    <t>TOWARDS A REFERENCE ARCHITECTURE FOR A BUSINESS CONTINUITY</t>
  </si>
  <si>
    <t>PIRTA-DREIMANE R, 2023, INTERNATIONAL CONFERENCE ON ENTERPRISE INFORMATION SYSTEMS, ICEIS - PROCEEDINGS</t>
  </si>
  <si>
    <t>&lt;a href="https://doi.org/10.1016/j.ifacol.2022.09.407" target="_blank"&gt;10.1016/j.ifacol.2022.09.407&lt;/a&gt;</t>
  </si>
  <si>
    <t>BAZ J;RUEL S</t>
  </si>
  <si>
    <t>BUSINESS CONTINUITY, DISASTER READINESS AND PERFORMANCE IN COVID-19 OUTBREAK AFTERMATH: ASURVEY</t>
  </si>
  <si>
    <t>BAZ J, 2022, IFAC-PAPERSONLINE</t>
  </si>
  <si>
    <t>&lt;a href="https://doi.org/10.37394/232015.2022.18.60" target="_blank"&gt;10.37394/232015.2022.18.60&lt;/a&gt;</t>
  </si>
  <si>
    <t>CHATZISTELIOS G;KECHAGIAS E;GAYIALIS S;PAPADOPOULOS G;SPYRIDONAKOS N</t>
  </si>
  <si>
    <t>BUSINESS CONTINUITY DURING THE COVID-19 PANDEMIC ERA: SURVIVING AND IMPROVING THE QUALITY PROCESS MANAGEMENT SYSTEM</t>
  </si>
  <si>
    <t>CHATZISTELIOS G, 2022, WSEAS TRANS ENVIRON DEV</t>
  </si>
  <si>
    <t>&lt;a href="https://doi.org/10.3130/aije.86.590" target="_blank"&gt;10.3130/aije.86.590&lt;/a&gt;</t>
  </si>
  <si>
    <t>MIYATA T;NAKAMURA Y;AOKI M;SENZAI Y</t>
  </si>
  <si>
    <t>ASSESSMENT OF VISUAL ENVIRONMENT NECESSARY FOR BUSINESS CONTINUITY IN EMERGENCIES (PART 1)： A STUDY OF VISUAL ENVIRONMENT ASSESSMENT USING HEAD MOUNTED DISPLAY VIRTUAL REALITY SYSTEM [非常時の業務継続性を確保するオフィス視環境(その 1): ヘッドマウントディスプレイ型ヴァーチャルリアリティシステムを用いた検討]</t>
  </si>
  <si>
    <t>MIYATA T, 2021, J ENVIRON ENG</t>
  </si>
  <si>
    <t>&lt;a href="https://doi.org/10.11159/mmme18.108" target="_blank"&gt;10.11159/mmme18.108&lt;/a&gt;</t>
  </si>
  <si>
    <t>CERTIFIABLE RISK MANAGEMENT &amp; BUSINESS CONTINUITY APPROACH IN MINING INDUSTRY</t>
  </si>
  <si>
    <t>VLACHOS T, 2018, PROC WORLD CONG MECHAN, CHEM, MAT ENG</t>
  </si>
  <si>
    <t>&lt;a href="https://doi.org/10.3130/aijt.19.363" target="_blank"&gt;10.3130/aijt.19.363&lt;/a&gt;</t>
  </si>
  <si>
    <t>KITABAYASHI K;FUJIWARA T;YAMAGISHI K</t>
  </si>
  <si>
    <t>SURVEY ON BUSINESS CONTINUITY AND EARTHQUAKE DAMAGE OF PRODUCTION FACILITIES DURING THE 2011 OFF THE PACIFIC COAST OF TOHOKU EARTHQUAKE (PART1)</t>
  </si>
  <si>
    <t>KITABAYASHI K, 2013, AIJ J TECHNOL DES</t>
  </si>
  <si>
    <t>&lt;a href="https://doi.org/10.1111/1468-5973.12573" target="_blank"&gt;10.1111/1468-5973.12573&lt;/a&gt;</t>
  </si>
  <si>
    <t>HASSEL H;CEDERGREN A</t>
  </si>
  <si>
    <t>A FRAMEWORK FOR BUSINESS CONTINUITY MANAGEMENT IN A MULTIACTOR CONTEXT</t>
  </si>
  <si>
    <t>HASSEL H, 2024, J CONTING CRISIS MAN</t>
  </si>
  <si>
    <t>&lt;a href="https://doi.org/10.3390/ijfs12010001" target="_blank"&gt;10.3390/ijfs12010001&lt;/a&gt;</t>
  </si>
  <si>
    <t>YASSIN M;AL-SRAHEEN D;AL D K;ALHADAB M;ALTAHTAMOUNI F</t>
  </si>
  <si>
    <t>VARIABLE CONSIDERATIONS IN ASC 606, EARNINGS MANAGEMENT AND BUSINESS CONTINUITY DURING CRISIS</t>
  </si>
  <si>
    <t>YASSIN M, 2024, INT J FINANC STUD</t>
  </si>
  <si>
    <t>&lt;a href="https://doi.org/10.20965/jdr.2023.p0124" target="_blank"&gt;10.20965/jdr.2023.p0124&lt;/a&gt;</t>
  </si>
  <si>
    <t>IGUCHI A;ISHIDA C;SATO T;OKADA R;KANESAKA T;KANNO T</t>
  </si>
  <si>
    <t>CURRENT SITUATION OF THE BUSINESS CONTINUITY PLAN PREPARATION IN JAPAN: COMMUNITY GENERAL SUPPORT CENTERS</t>
  </si>
  <si>
    <t>IGUCHI A, 2023, J DISASTER RES</t>
  </si>
  <si>
    <t>&lt;a href="https://doi.org/10.3390/logistics8020041" target="_blank"&gt;10.3390/logistics8020041&lt;/a&gt;</t>
  </si>
  <si>
    <t>VISHKAEI B;DE G P</t>
  </si>
  <si>
    <t>THE IMPACT OF BUSINESS CONTINUITY ON SUPPLY CHAIN PRACTICES AND RESILIENCE DUE TO COVID-19</t>
  </si>
  <si>
    <t>VISHKAEI B, 2024, LOGISTICS-BASEL</t>
  </si>
  <si>
    <t>&lt;a href="https://doi.org/10.3390/su142215388" target="_blank"&gt;10.3390/su142215388&lt;/a&gt;</t>
  </si>
  <si>
    <t>ROSTEK K;WISNIEWSKI M;SKOMRA W</t>
  </si>
  <si>
    <t>ANALYSIS AND EVALUATION OF BUSINESS CONTINUITY MEASURES EMPLOYED IN CRITICAL INFRASTRUCTURE DURING THE COVID-19 PANDEMIC</t>
  </si>
  <si>
    <t>ROSTEK K, 2022, SUSTAINABILITY-BASEL</t>
  </si>
  <si>
    <t>&lt;a href="https://doi.org/10.20965/jdr.2023.p0137" target="_blank"&gt;10.20965/jdr.2023.p0137&lt;/a&gt;</t>
  </si>
  <si>
    <t>KANNO T;UMEMOTO M;ISHIDA C;IGUCHI A;OKADA R;KANESAKA T</t>
  </si>
  <si>
    <t>COLLECTIVE KNOWLEDGE AND EXPERIENCE FOR RESOURCE-FOCUSED BUSINESS CONTINUITY PLANS FOUNDATION: SURVEY ON HOW HOME-VISIT NURSING OPERATORS IN JAPAN COPED WITH THE COVID-19 PANDEMIC</t>
  </si>
  <si>
    <t>KANNO T, 2023, J DISASTER RES</t>
  </si>
  <si>
    <t>&lt;a href="https://doi.org/10.2478/eoik-2024-0024" target="_blank"&gt;10.2478/eoik-2024-0024&lt;/a&gt;</t>
  </si>
  <si>
    <t>ZAINUROSSALAMIA Z;TRICAHYADINATA I;ROBIANSYAH R</t>
  </si>
  <si>
    <t>DOES CREATIVITY AND PRODUCT INNOVATION BUILD BUSINESS CONTINUITY? INVESTIGATION OF SAMARINDA WEAVING CRAFT</t>
  </si>
  <si>
    <t>ZAINUROSSALAMIA Z, 2024, ECON INNOVATE ECON RES J</t>
  </si>
  <si>
    <t>&lt;a href="https://doi.org/10.52080/rvgluz.29.107.24" target="_blank"&gt;10.52080/rvgluz.29.107.24&lt;/a&gt;</t>
  </si>
  <si>
    <t>BRACHO C E;VILLASMIL P N;SUÁREZ C J</t>
  </si>
  <si>
    <t>RISK SCENARIOS FOR BUSINESS CONTINUITY IN TRAVEL AGENCIES [ESCENARIOS DE RIESGOS PARA LA CONTINUIDAD DEL NEGOCIO EN AGENCIAS DE VIAJES]</t>
  </si>
  <si>
    <t>BRACHO C E, 2024, REV VENEZ GERENCIA</t>
  </si>
  <si>
    <t>&lt;a href="https://doi.org/10.3130/aijt.30.873" target="_blank"&gt;10.3130/aijt.30.873&lt;/a&gt;</t>
  </si>
  <si>
    <t>NAKAMURA M;SHIRAYAMA A;OGAWA H;KANAI J</t>
  </si>
  <si>
    <t>THE BUSINESS CONTINUITY OF PUBLIC LIBRARY UNDER THE COVID-19 EPIDEMIC [新型コロナウイルス流行下における公立図書館の事業継続]</t>
  </si>
  <si>
    <t>NAKAMURA M, 2024, AIJ J TECHNOL DES</t>
  </si>
  <si>
    <t>&lt;a href="https://doi.org/10.24294/jipd.v8i10.6643" target="_blank"&gt;10.24294/jipd.v8i10.6643&lt;/a&gt;</t>
  </si>
  <si>
    <t>JAEWOOK K;EUNJI S;GANG-HOON S</t>
  </si>
  <si>
    <t>THE MISSIONS OF COMPANIES IN THE HENOKIENS ASSOCIATION: CONTENT ANALYSES OF THEIR CONFIGURATION WITH LINKAGES TO BUSINESS LONGEVITY</t>
  </si>
  <si>
    <t>JAEWOOK K, 2024, J INFRASTRUCT POLICY DEV</t>
  </si>
  <si>
    <t>&lt;a href="https://doi.org/10.55493/5003.v14i1.4993" target="_blank"&gt;10.55493/5003.v14i1.4993&lt;/a&gt;</t>
  </si>
  <si>
    <t>ISMAIL A;ALI A</t>
  </si>
  <si>
    <t>BOARD DIVERSITY AND VALUE CREATION FOR BUSINESS SUSTAINABILITY</t>
  </si>
  <si>
    <t>ISMAIL A, 2024, J ASIAN SCI RES</t>
  </si>
  <si>
    <t>&lt;a href="https://doi.org/10.53703/001c.94168" target="_blank"&gt;10.53703/001c.94168&lt;/a&gt;</t>
  </si>
  <si>
    <t>ALKHAWALDEH K;ALKAYID W</t>
  </si>
  <si>
    <t>THE IMPACT OF SOCIAL MEDIA QUALITY ON THEIR USE IN BUSINESS CONTINUITY OF JORDANIAN SMALL AND MEDIUM ENTERPRISES DURING THE COVID-19 PANDEMIC</t>
  </si>
  <si>
    <t>ALKHAWALDEH K, 2023, J SMALL BUS STRATEGY</t>
  </si>
  <si>
    <t>&lt;a href="https://doi.org/10.1016/j.procs.2023.10.105" target="_blank"&gt;10.1016/j.procs.2023.10.105&lt;/a&gt;</t>
  </si>
  <si>
    <t>MASHIRO G;ICHIMURA K;KURAHASHI S</t>
  </si>
  <si>
    <t>HOW TO PREPARE FOR FOOD AND LIFE SUPPLIES OF EMPLOYEES THAT ENSURE THE BUSINESS CONTINUITY PLAN UNDER DISASTER THREATS AND RISKS</t>
  </si>
  <si>
    <t>MASHIRO G, 2023, PROCEDIA COMPUT SCI</t>
  </si>
  <si>
    <t>&lt;a href="https://doi.org/10.3130/aijt.20.411" target="_blank"&gt;10.3130/aijt.20.411&lt;/a&gt;</t>
  </si>
  <si>
    <t>KITABAYASHI K;YAMAGISHI K</t>
  </si>
  <si>
    <t>SURVEY ON BUSINESS CONTINUITY AND EARTHQUAKE DAMAGE OF PRODUCTION FACILITIES DURING THE 2011 OFF THE PACIFIC COAST OF TOHOKU EARTHQUAKE (PART2)</t>
  </si>
  <si>
    <t>KITABAYASHI K, 2014, AIJ J TECHNOL DES</t>
  </si>
  <si>
    <t>&lt;a href="https://doi.org/10.20965/jaciii.2012.p0547" target="_blank"&gt;10.20965/jaciii.2012.p0547&lt;/a&gt;</t>
  </si>
  <si>
    <t>TERASAKI S;NAGASAWA S</t>
  </si>
  <si>
    <t>THE RELATIONSHIP BETWEEN BRAND INTEGRITY AND BUSINESS CONTINUITY -A CASE STUDY OF JAPANESE LONG-STANDING COMPANY, SHIOYOSHIKEN-</t>
  </si>
  <si>
    <t>TERASAKI S, 2012, J ADV COMPUT INTELL INTELLIGENT INFORMATICS</t>
  </si>
  <si>
    <t>&lt;a href="https://doi.org/10.1016/j.ejor.2014.09.055" target="_blank"&gt;10.1016/j.ejor.2014.09.055&lt;/a&gt;</t>
  </si>
  <si>
    <t>SAHEBJAMNIA N;TORABI S;MANSOURI S</t>
  </si>
  <si>
    <t>INTEGRATED BUSINESS CONTINUITY AND DISASTER RECOVERY PLANNING: TOWARDS ORGANIZATIONAL RESILIENCE</t>
  </si>
  <si>
    <t>SAHEBJAMNIA N, 2015, EUR J OPER RES</t>
  </si>
  <si>
    <t>&lt;a href="https://doi.org/10.1108/SCM-08-2019-0304" target="_blank"&gt;10.1108/SCM-08-2019-0304&lt;/a&gt;</t>
  </si>
  <si>
    <t>AZADEGAN A;SYED T;BLOME C;TAJEDDINI K</t>
  </si>
  <si>
    <t>SUPPLY CHAIN INVOLVEMENT IN BUSINESS CONTINUITY MANAGEMENT: EFFECTS ON REPUTATIONAL AND OPERATIONAL DAMAGE CONTAINMENT FROM SUPPLY CHAIN DISRUPTIONS</t>
  </si>
  <si>
    <t>AZADEGAN A, 2020, SUPPLY CHAIN MANAG</t>
  </si>
  <si>
    <t>&lt;a href="https://doi.org/10.3390/su13158196" target="_blank"&gt;10.3390/su13158196&lt;/a&gt;</t>
  </si>
  <si>
    <t>CORRALES-ESTRADA A;GÓMEZ-SANTOS L;BERNAL-TORRES C;RODRIGUEZ-LÓPEZ J</t>
  </si>
  <si>
    <t>SUSTAINABILITY AND RESILIENCE ORGANIZATIONAL CAPABILITIES TO ENHANCE BUSINESS CONTINUITY MANAGEMENT: A LITERATURE REVIEW</t>
  </si>
  <si>
    <t>CORRALES-ESTRADA A, 2021, SUSTAINABILITY-BASEL</t>
  </si>
  <si>
    <t>&lt;a href="https://doi.org/10.1016/j.estger.2017.11.006" target="_blank"&gt;10.1016/j.estger.2017.11.006&lt;/a&gt;</t>
  </si>
  <si>
    <t>CARRO-SUÁREZ J;SARMIENTO-PAREDES S;ROSANO-ORTEGA G</t>
  </si>
  <si>
    <t>ORGANIZATIONAL CULTURE AND ITS INFLUENCE IN BUSINESS SUSTAINABILITY. THE IMPORTANCE OF CULTURE IN CORPORATE SUSTAINABILITY [LA CULTURA ORGANIZACIONAL Y SU INFLUENCIA EN LA SUSTENTABILIDAD EMPRESARIAL. LA IMPORTANCIA DE LA CULTURA EN LA SUSTENTABILIDAD EMPRESARIAL]</t>
  </si>
  <si>
    <t>CARRO-SUÁREZ J, 2017, ESTUD GERENCIALES</t>
  </si>
  <si>
    <t>&lt;a href="https://doi.org/10.1016/j.procs.2015.07.130" target="_blank"&gt;10.1016/j.procs.2015.07.130&lt;/a&gt;</t>
  </si>
  <si>
    <t>RELIABILITY OF SUPPLY CHAINS AND BUSINESS CONTINUITY MANAGEMENT</t>
  </si>
  <si>
    <t>FAERTES D, 2015, PROCEDIA COMPUT SCI</t>
  </si>
  <si>
    <t>&lt;a href="https://doi.org/10.1016/j.procs.2019.11.124" target="_blank"&gt;10.1016/j.procs.2019.11.124&lt;/a&gt;</t>
  </si>
  <si>
    <t>FANI S;SUBRIADI A</t>
  </si>
  <si>
    <t>BUSINESS CONTINUITY PLAN: EXAMINING OF MULTI-USABLE FRAMEWORK</t>
  </si>
  <si>
    <t>FANI S, 2019, PROCEDIA COMPUT SCI</t>
  </si>
  <si>
    <t>&lt;a href="https://doi.org/10.17705/1cais.03704" target="_blank"&gt;10.17705/1cais.03704&lt;/a&gt;</t>
  </si>
  <si>
    <t>INTERDISCIPLINARY REVIEW OF BUSINESS CONTINUITY FROM AN INFORMATION SYSTEMS PERSPECTIVE: TOWARD AN INTEGRATIVE FRAMEWORK</t>
  </si>
  <si>
    <t>NIEMIMAA M, 2015, COMMUN ASSOC INFO SYST</t>
  </si>
  <si>
    <t>&lt;a href="https://doi.org/10.3846/jbem.2020.12205" target="_blank"&gt;10.3846/jbem.2020.12205&lt;/a&gt;</t>
  </si>
  <si>
    <t>PAUNESCU C;ARGATU R</t>
  </si>
  <si>
    <t>CRITICAL FUNCTIONS IN ENSURING EFFECTIVE BUSINESS CONTINUITY MANAGEMENT. EVIDENCE FROM ROMANIAN COMPANIES</t>
  </si>
  <si>
    <t>PAUNESCU C, 2020, J BUS ECON MANAG</t>
  </si>
  <si>
    <t>&lt;a href="https://doi.org/10.2478/MMCKS-2018-0021" target="_blank"&gt;10.2478/MMCKS-2018-0021&lt;/a&gt;</t>
  </si>
  <si>
    <t>PĂUNESCU C;POPESCU M;BLID L</t>
  </si>
  <si>
    <t>BUSINESS IMPACT ANALYSIS FOR BUSINESS CONTINUITY: EVIDENCE FROM ROMANIAN ENTERPRISES ON CRITICAL FUNCTIONS</t>
  </si>
  <si>
    <t>PĂUNESCU C, 2018, MANAGE MARK</t>
  </si>
  <si>
    <t>&lt;a href="https://doi.org/10.1177/2158244017706712" target="_blank"&gt;10.1177/2158244017706712&lt;/a&gt;</t>
  </si>
  <si>
    <t>TRACEY S;O'SULLIVAN T;LANE D;GUY E;COURTEMANCHE J</t>
  </si>
  <si>
    <t>PROMOTING RESILIENCE USING AN ASSET-BASED APPROACH TO BUSINESS CONTINUITY PLANNING</t>
  </si>
  <si>
    <t>TRACEY S, 2017, SAGE OPEN</t>
  </si>
  <si>
    <t>&lt;a href="https://doi.org/10.1109/EMR.2020.3005506" target="_blank"&gt;10.1109/EMR.2020.3005506&lt;/a&gt;</t>
  </si>
  <si>
    <t>SURESH N;SANDERS G;BRAUNSCHEIDEL M</t>
  </si>
  <si>
    <t>BUSINESS CONTINUITY MANAGEMENT FOR SUPPLY CHAINS FACING CATASTROPHIC EVENTS</t>
  </si>
  <si>
    <t>SURESH N, 2020, IEEE ENG MANAGE REV</t>
  </si>
  <si>
    <t>&lt;a href="https://doi.org/10.1108/JOEPP-01-2017-0002" target="_blank"&gt;10.1108/JOEPP-01-2017-0002&lt;/a&gt;</t>
  </si>
  <si>
    <t>WHEN ORGANISATIONAL EFFECTIVENESS FAILS: BUSINESS CONTINUITY MANAGEMENT AND THE PARADOX OF PERFORMANCE</t>
  </si>
  <si>
    <t>FISCHBACHER-SMITH D, 2017, J ORGAN EFF PEOPLE PERFORM</t>
  </si>
  <si>
    <t>&lt;a href="https://doi.org/10.2507/IJSIMM10(1)2.172" target="_blank"&gt;10.2507/IJSIMM10(1)2.172&lt;/a&gt;</t>
  </si>
  <si>
    <t>TAN Y;TAKAKUWA S</t>
  </si>
  <si>
    <t>USE OF SIMULATION IN A FACTORY FOR BUSINESS CONTINUITY PLANNING</t>
  </si>
  <si>
    <t>TAN Y, 2011, INT J SIMUL MODEL</t>
  </si>
  <si>
    <t>&lt;a href="https://doi.org/10.1504/IJBCRM.2020.105615" target="_blank"&gt;10.1504/IJBCRM.2020.105615&lt;/a&gt;</t>
  </si>
  <si>
    <t>JAIN P;PASMAN H;SAM M M</t>
  </si>
  <si>
    <t>PROCESS SYSTEM RESILIENCE: FROM RISK MANAGEMENT TO BUSINESS CONTINUITY AND SUSTAINABILITY</t>
  </si>
  <si>
    <t>JAIN P, 2020, INT J BUS CONTINUITY RISK MANAG</t>
  </si>
  <si>
    <t>&lt;a href="https://doi.org/10.1007/s10796-008-9081-8" target="_blank"&gt;10.1007/s10796-008-9081-8&lt;/a&gt;</t>
  </si>
  <si>
    <t>IS YOUR BACK-UP IT INFRASTRUCTURE IN A SAFE LOCATION?:A MULTI-CRITERIA APPROACH TO LOCATION ANALYSIS FOR BUSINESS CONTINUITY FACILITIES</t>
  </si>
  <si>
    <t>TURETKEN O, 2008, INF SYST FRONT</t>
  </si>
  <si>
    <t>&lt;a href="https://doi.org/10.1002/bse.3225" target="_blank"&gt;10.1002/bse.3225&lt;/a&gt;</t>
  </si>
  <si>
    <t>ANDERSSON S;SVENSSON G;OTERO-NEIRA C;LAURELL H;LINDGREN J;KARLSSON N</t>
  </si>
  <si>
    <t>SUSTAINABLE DEVELOPMENT CONSIDERATIONS IN SUPPLY CHAINS: FIRMS' RELATIONSHIPS WITH STAKEHOLDERS IN THEIR BUSINESS SUSTAINABILITY PRACTICES-A TRIANGULAR COMPARISON</t>
  </si>
  <si>
    <t>ANDERSSON S, 2023, BUS STRATEG ENVIRON</t>
  </si>
  <si>
    <t>&lt;a href="https://doi.org/10.20965/jdr.2015.p0204" target="_blank"&gt;10.20965/jdr.2015.p0204&lt;/a&gt;</t>
  </si>
  <si>
    <t>BABA H;WATANABE T;MIYATA K;MATSUMOTO H</t>
  </si>
  <si>
    <t>AREA BUSINESS CONTINUITY MANAGEMENT, A NEW APPROACH TO SUSTAINABLE LOCAL ECONOMY</t>
  </si>
  <si>
    <t>BABA H, 2015, J DISASTER RES</t>
  </si>
  <si>
    <t>&lt;a href="https://doi.org/10.20965/jdr.2020.p0546" target="_blank"&gt;10.20965/jdr.2020.p0546&lt;/a&gt;</t>
  </si>
  <si>
    <t>CHAROENTHAMMACHOKE K;LEELAWAT N;TANG J;KODAKA A</t>
  </si>
  <si>
    <t>BUSINESS CONTINUITY MANAGEMENT: A PRELIMINARY SYSTEMATIC LITERATURE REVIEW BASED ON SCIENCEDIRECT DATABASE</t>
  </si>
  <si>
    <t>CHAROENTHAMMACHOKE K, 2020, J DISASTER RES</t>
  </si>
  <si>
    <t>&lt;a href="https://doi.org/10.1016/j.wds.2022.100039" target="_blank"&gt;10.1016/j.wds.2022.100039&lt;/a&gt;</t>
  </si>
  <si>
    <t>AL-SHAIKH M;HANAYSHA J</t>
  </si>
  <si>
    <t>A CONCEPTUAL REVIEW ON ENTREPRENEURIAL MARKETING AND BUSINESS SUSTAINABILITY IN SMALL AND MEDIUM ENTERPRISES</t>
  </si>
  <si>
    <t>AL-SHAIKH M, 2023, WORLD DEV SUSTAIN</t>
  </si>
  <si>
    <t>&lt;a href="https://doi.org/10.1016/j.pdisas.2021.100181" target="_blank"&gt;10.1016/j.pdisas.2021.100181&lt;/a&gt;</t>
  </si>
  <si>
    <t>SCHMID B;RAJU E;JENSEN P</t>
  </si>
  <si>
    <t>COVID-19 AND BUSINESS CONTINUITY - LEARNING FROM THE PRIVATE SECTOR AND HUMANITARIAN ACTORS IN KENYA</t>
  </si>
  <si>
    <t>SCHMID B, 2021, PROG DISASTER SCI</t>
  </si>
  <si>
    <t>&lt;a href="https://doi.org/10.1109/BDIM.2008.4540071" target="_blank"&gt;10.1109/BDIM.2008.4540071&lt;/a&gt;</t>
  </si>
  <si>
    <t>WAN S;CHAN Y</t>
  </si>
  <si>
    <t>ADOPTION OF BUSINESS CONTINUITY PLANNING PROCESSES IN IT SERVICE MANAGEMENT</t>
  </si>
  <si>
    <t>WAN S, 2008, IEEE/IFIP INT WORKSHOP BUS-DRIVEN IT MANAGE, BDIM</t>
  </si>
  <si>
    <t>&lt;a href="https://doi.org/10.3390/math10214041" target="_blank"&gt;10.3390/math10214041&lt;/a&gt;</t>
  </si>
  <si>
    <t>BOBEL V;SIGAHI T;RAMPASSO I;DE M G;AVILA L;FILHO W;ANHOLON R</t>
  </si>
  <si>
    <t>ANALYSIS OF THE LEVEL OF ADOPTION OF BUSINESS CONTINUITY PRACTICES BY BRAZILIAN INDUSTRIES: AN EXPLORATORY STUDY USING FUZZY TOPSIS</t>
  </si>
  <si>
    <t>BOBEL V, 2022, MATHEMATICS-BASEL</t>
  </si>
  <si>
    <t>&lt;a href="https://doi.org/10.20965/jdr.2017.p0806" target="_blank"&gt;10.20965/jdr.2017.p0806&lt;/a&gt;</t>
  </si>
  <si>
    <t>ONO T;WATANABE K</t>
  </si>
  <si>
    <t>AREA BUSINESS CONTINUITY MANAGEMENT APPROACH TO BUILD SUSTAINABLE COMMUNITIES</t>
  </si>
  <si>
    <t>ONO T, 2017, J DISASTER RES</t>
  </si>
  <si>
    <t>&lt;a href="https://doi.org/10.1177/2158244020927417" target="_blank"&gt;10.1177/2158244020927417&lt;/a&gt;</t>
  </si>
  <si>
    <t>LOCATIONAL CONTIGUITY AND BUSINESS CONTINUITY: PERCEIVED ORGANIZATIONAL RESILIENCE OF SMALL- AND MEDIUM-SIZED ENTERPRISES IN U.K. BUSINESS PARKS</t>
  </si>
  <si>
    <t>HERBANE B, 2020, SAGE OPEN</t>
  </si>
  <si>
    <t>&lt;a href="https://doi.org/10.5539/ass.v8n12p226" target="_blank"&gt;10.5539/ass.v8n12p226&lt;/a&gt;</t>
  </si>
  <si>
    <t>HENG T;HOOI S;LIANG Y;OTHMA A;SAN O</t>
  </si>
  <si>
    <t>TELECOMMUTING FOR BUSINESS CONTINUITY IN A NON-PROFIT ENVIRONMENT</t>
  </si>
  <si>
    <t>HENG T, 2012, ASIAN SOC SCI</t>
  </si>
  <si>
    <t>&lt;a href="https://doi.org/10.15240/tul/001/2016-1-012" target="_blank"&gt;10.15240/tul/001/2016-1-012&lt;/a&gt;</t>
  </si>
  <si>
    <t>PODARAS A;ANTLOVÁ K;MOTEJLEK J</t>
  </si>
  <si>
    <t>INFORMATION MANAGEMENT TOOLS FOR IMPLEMENTING AN EFFECTIVE ENTERPRISE BUSINESS CONTINUITY STRATEGY</t>
  </si>
  <si>
    <t>PODARAS A, 2016, E M EKON MANAG</t>
  </si>
  <si>
    <t>&lt;a href="https://doi.org/10.4018/JGIM.20211101.oa8" target="_blank"&gt;10.4018/JGIM.20211101.oa8&lt;/a&gt;</t>
  </si>
  <si>
    <t>GOEL L;DONALDSON J</t>
  </si>
  <si>
    <t>SOCIAL MEDIA EXPLORATION AND EXPLOITATION BY SMALL AND MEDIUM ENTERPRISES FOR BUSINESS CONTINUITY</t>
  </si>
  <si>
    <t>GOEL L, 2021, J GLOB INF MANAG</t>
  </si>
  <si>
    <t>&lt;a href="https://doi.org/10.1016/j.clscn.2021.100018" target="_blank"&gt;10.1016/j.clscn.2021.100018&lt;/a&gt;</t>
  </si>
  <si>
    <t>DE O U;MUNIZ M;ANAIA L;ROCHA H</t>
  </si>
  <si>
    <t>MEDICATION SUPPLY CHAIN RISK MANAGEMENT FOR A BRAZILIAN HOME CARE PROVIDER: A BUSINESS SUSTAINABILITY STUDY</t>
  </si>
  <si>
    <t>DE O U, 2022, CLEAN LOGIST SUPPL C</t>
  </si>
  <si>
    <t>&lt;a href="https://doi.org/10.1080/1331677X.2013.11517597" target="_blank"&gt;10.1080/1331677X.2013.11517597&lt;/a&gt;</t>
  </si>
  <si>
    <t>SPREMIC M;BAJGORIC N;TURULJA L</t>
  </si>
  <si>
    <t>IMPLEMENTATION OF IT GOVERNANCE STANDARDS AND BUSINESS CONTINUITY MANAGEMENT IN TRANSITION ECONOMIES: THE CASE OF BANKING SECTOR IN CROATIA AND BOSNIA-HERZEGOVINA</t>
  </si>
  <si>
    <t>SPREMIC M, 2013, ECON RES-EKON ISTRAZ</t>
  </si>
  <si>
    <t>&lt;a href="https://doi.org/10.20965/jdr.2015.p0777" target="_blank"&gt;10.20965/jdr.2015.p0777&lt;/a&gt;</t>
  </si>
  <si>
    <t>BUSINESS CONTINUITY MANAGEMENT (BCM) FOR REGIONAL FINANCIAL FUNCTIONALITIES IN WIDE-AREA DISASTERS: IMPORTANCE AND CHALLENGES IN COOPERATION AMONG REGIONAL FINANCIAL INSTITUTIONS AND PPP (PUBLIC-PRIVATE PARTNERSHIP)</t>
  </si>
  <si>
    <t>WATANABE K, 2015, J DISASTER RES</t>
  </si>
  <si>
    <t>&lt;a href="https://doi.org/10.11118/actaun201563031061" target="_blank"&gt;10.11118/actaun201563031061&lt;/a&gt;</t>
  </si>
  <si>
    <t>URBANEC J;URBANCOVÁ H</t>
  </si>
  <si>
    <t>THE BENEFITS OF BUSINESS CONTINUITY MANAGEMENT IN CZECH ORGANIZATIONS</t>
  </si>
  <si>
    <t>URBANEC J, 2015, ACTA UNIV AGRIC SILVICULTURAE MENDELIANAE BRUN</t>
  </si>
  <si>
    <t>&lt;a href="https://doi.org/10.1007/s13753-023-00494-x" target="_blank"&gt;10.1007/s13753-023-00494-x&lt;/a&gt;</t>
  </si>
  <si>
    <t>GALAITSI S;PINIGINA E;KEISLER J;PESCAROLI G;KEENAN J;LINKOV I</t>
  </si>
  <si>
    <t>BUSINESS CONTINUITY MANAGEMENT, OPERATIONAL RESILIENCE, AND ORGANIZATIONAL RESILIENCE: COMMONALITIES, DISTINCTIONS, AND SYNTHESIS</t>
  </si>
  <si>
    <t>GALAITSI S, 2023, INT J DISAST RISK SC</t>
  </si>
  <si>
    <t>&lt;a href="https://doi.org/10.1111/disa.12551" target="_blank"&gt;10.1111/disa.12551&lt;/a&gt;</t>
  </si>
  <si>
    <t>PESCAROLI G;VELAZQUEZ O;ALCÁNTARA-AYALA I;GALASSO C</t>
  </si>
  <si>
    <t>INTEGRATING EARTHQUAKE EARLY WARNINGS INTO BUSINESS CONTINUITY AND ORGANISATIONAL RESILIENCE: LESSONS LEARNED FROM MEXICO CITY</t>
  </si>
  <si>
    <t>PESCAROLI G, 2023, DISASTERS</t>
  </si>
  <si>
    <t>&lt;a href="https://doi.org/10.3390/su5020456" target="_blank"&gt;10.3390/su5020456&lt;/a&gt;</t>
  </si>
  <si>
    <t>PARAPE C;PREMACHANDRA C;TAMURA M;BARI A;DISANAYAKE R;WELIKANNA D;JIN S;SUGIURA M</t>
  </si>
  <si>
    <t>BUILDING DAMAGE AND BUSINESS CONTINUITY MANAGEMENT IN THE EVENT OF NATURAL HAZARDS: CASE STUDY OF THE 2004 TSUNAMI IN SRI LANKA</t>
  </si>
  <si>
    <t>PARAPE C, 2013, SUSTAINABILITY-BASEL</t>
  </si>
  <si>
    <t>&lt;a href="https://doi.org/10.35784/pe.2021.2.05" target="_blank"&gt;10.35784/pe.2021.2.05&lt;/a&gt;</t>
  </si>
  <si>
    <t>LENKA P;KAR S</t>
  </si>
  <si>
    <t>TRANSFORMATIONAL LEADERSHIP: AN APPROACH OF BUSINESS SUSTAINABILITY DURING THE COVID-19 PANDEMIC WITH SPECIAL REFLECTION TO INDIA</t>
  </si>
  <si>
    <t>LENKA P, 2021, PROBL EKOROZW</t>
  </si>
  <si>
    <t>&lt;a href="https://doi.org/10.1080/19393555.2023.2195577" target="_blank"&gt;10.1080/19393555.2023.2195577&lt;/a&gt;</t>
  </si>
  <si>
    <t>RUSSO N;REIS L;SILVEIRA C;MAMEDE H</t>
  </si>
  <si>
    <t>TOWARDS A COMPREHENSIVE FRAMEWORK FOR THE MULTIDISCIPLINARY EVALUATION OF ORGANIZATIONAL MATURITY ON BUSINESS CONTINUITY PROGRAM MANAGEMENT: A SYSTEMATIC LITERATURE REVIEW</t>
  </si>
  <si>
    <t>RUSSO N, 2024, INF SECUR J</t>
  </si>
  <si>
    <t>&lt;a href="https://doi.org/10.1088/1755-1315/729/1/012049" target="_blank"&gt;10.1088/1755-1315/729/1/012049&lt;/a&gt;</t>
  </si>
  <si>
    <t>HAMSAL M;ICHSAN M</t>
  </si>
  <si>
    <t>BUSINESS SUSTAINABILITY IN THE TIMES OF CRISIS: PROPOSITIONS AND FRAMEWORK</t>
  </si>
  <si>
    <t>HAMSAL M, 2021, IOP CONF SER EARTH ENVIRON SCI</t>
  </si>
  <si>
    <t>&lt;a href="https://doi.org/10.37960/rvg.v25i3.33356" target="_blank"&gt;10.37960/rvg.v25i3.33356&lt;/a&gt;</t>
  </si>
  <si>
    <t>GÓMEZ B G;MORÓN V A;BETANCOURT R J</t>
  </si>
  <si>
    <t>RISK MANAGEMENT MODEL, THE CONTRIBUTION OF PHI VALUE IN THE BUSINESS CONTINUITY PLAN [MODELO DE GESTIÓN DE RIESGOS: EL APORTE DEL VALOR PHI EN EL PLAN DE CONTINUIDAD DE NEGOCIOS]</t>
  </si>
  <si>
    <t>GÓMEZ B G, 2020, REV VENEZ GERENCIA</t>
  </si>
  <si>
    <t>&lt;a href="https://doi.org/10.3844/jcssp.2019.1133.1149" target="_blank"&gt;10.3844/jcssp.2019.1133.1149&lt;/a&gt;</t>
  </si>
  <si>
    <t>IDREES A;EL S A;EL M M</t>
  </si>
  <si>
    <t>A PROPOSED MINING BASED BUSINESS CONTINUITY INFORMATION SYSTEM FOR EDUCATIONAL INSTITUTES</t>
  </si>
  <si>
    <t>IDREES A, 2019, J COMPUT SCI</t>
  </si>
  <si>
    <t>&lt;a href="https://doi.org/10.15446/innovar.v28n70.74451" target="_blank"&gt;10.15446/innovar.v28n70.74451&lt;/a&gt;</t>
  </si>
  <si>
    <t>EVIDENCE OF DECOUPLING IN BUSINESS SUSTAINABILITY: A CASE STUDY IN THE COLOMBIAN MINING SECTOR [LES PREUVES DU DÉCOUPLAGE DE LA DURABILITÉ DES ENTREPRISES: UNE ÉTUDE DE CAS DANS LE SECTEUR MINIER COLOMBIEN] [EVIDÊNCIAS DE DECOUPLING NA SUSTENTABILIDADE EMPRESARIAL: UM CASO DE ESTUDO NO SETOR MINERADOR COLOMBIANO] [EVIDENCIAS DE DECOUPLING EN LA SOSTENIBILIDAD EMPRESARIAL: UN CASO DE ESTUDIO EN EL SECTOR MINERO COLOMBIANO]</t>
  </si>
  <si>
    <t>CONTRERAS-PACHECO O, 2018, INNOVAR</t>
  </si>
  <si>
    <t>&lt;a href="https://doi.org/10.1515/jok-2016-0001" target="_blank"&gt;10.1515/jok-2016-0001&lt;/a&gt;</t>
  </si>
  <si>
    <t>THE CONCEPT OF METHOD FOR DETERMINING THE MINIMUM LEVEL OF AIRPORT BUSINESS CONTINUITY [KONCEPCJA METODY WYZNACZANIA MINIMALNEGO POZIOMU CIAGŁOŚCI DZIAŁANIA PORTU LOTNICZEGO]</t>
  </si>
  <si>
    <t>KOZŁOWSKI M, 2016, J KONBIN</t>
  </si>
  <si>
    <t>&lt;a href="https://doi.org/10.1515/mmcks-2016-0009" target="_blank"&gt;10.1515/mmcks-2016-0009&lt;/a&gt;</t>
  </si>
  <si>
    <t>GHINEA V;MOROIANU M</t>
  </si>
  <si>
    <t>HR STRATEGY – NECESSITY OR FAD FOR BUSINESS SUSTAINABILITY?</t>
  </si>
  <si>
    <t>GHINEA V, 2016, MANAGE MARK</t>
  </si>
  <si>
    <t>&lt;a href="https://doi.org/10.11113/jt.v78.10018" target="_blank"&gt;10.11113/jt.v78.10018&lt;/a&gt;</t>
  </si>
  <si>
    <t>MANSOL N;ALWI N;ISMAIL W</t>
  </si>
  <si>
    <t>MANAGING ORGANIZATIONAL CULTURE REQUIREMENT FOR BUSINESS CONTINUITY MANAGEMENT (BCM) IMPLEMENTATION USING GOAL-QUESTION-METRIC (GQM) APPROACH</t>
  </si>
  <si>
    <t>MANSOL N, 2016, J TEKNOL</t>
  </si>
  <si>
    <t>&lt;a href="https://doi.org/10.1515/jok-2015-0038" target="_blank"&gt;10.1515/jok-2015-0038&lt;/a&gt;</t>
  </si>
  <si>
    <t>ASPECT OF RELIABILITY IN AIRPORT BUSINESS CONTINUITY MANAGEMENT</t>
  </si>
  <si>
    <t>KOZLOWSKI M, 2015, J KONBIN</t>
  </si>
  <si>
    <t>&lt;a href="https://doi.org/10.2478/v10238-012-0031-x" target="_blank"&gt;10.2478/v10238-012-0031-x&lt;/a&gt;</t>
  </si>
  <si>
    <t>BUSINESS CONTINUITY</t>
  </si>
  <si>
    <t>ZAWIŁA-NIEDŹWIECKI J, 2010, FOUND MANAG</t>
  </si>
  <si>
    <t>&lt;a href="https://doi.org/10.2298/CSIS190202037L" target="_blank"&gt;10.2298/CSIS190202037L&lt;/a&gt;</t>
  </si>
  <si>
    <t>LABUS M;DESPOTOVIC-ZRAKIC M;BOGDANOVIC Z;BARAC D;POPOVIC S</t>
  </si>
  <si>
    <t>ADAPTIVE E-BUSINESS CONTINUITY MANAGEMENT: EVIDENCE FROM THE FINANCIAL SECTOR</t>
  </si>
  <si>
    <t>LABUS M, 2020, COMPUT SCI INF SYST</t>
  </si>
  <si>
    <t>&lt;a href="https://doi.org/10.1016/j.ifacol.2022.10.034" target="_blank"&gt;10.1016/j.ifacol.2022.10.034&lt;/a&gt;</t>
  </si>
  <si>
    <t>BUSINESS CONTINUITY MANAGEMENT AS A KEY ENABLER OF SUPPLY CHAIN RESILIENCE: A CONCEPTUAL PAPER</t>
  </si>
  <si>
    <t>RIGLIETTI F, 2022, IFAC-PAPERSONLINE</t>
  </si>
  <si>
    <t>&lt;a href="https://doi.org/10.3390/su131910918" target="_blank"&gt;10.3390/su131910918&lt;/a&gt;</t>
  </si>
  <si>
    <t>CHEN H;TSE D;SI P;GAO G;YIN C</t>
  </si>
  <si>
    <t>STRENGTHEN THE SECURITY MANAGEMENT OF CUSTOMER INFORMATION IN THE VIRTUAL BANKS OF HONG KONG THROUGH BUSINESS CONTINUITY MANAGEMENT TO MAINTAIN ITS BUSINESS SUSTAINABILITY</t>
  </si>
  <si>
    <t>CHEN H, 2021, SUSTAINABILITY-BASEL</t>
  </si>
  <si>
    <t>&lt;a href="https://doi.org/10.16967/23898186.719" target="_blank"&gt;10.16967/23898186.719&lt;/a&gt;</t>
  </si>
  <si>
    <t>MARTÍNEZ-RUBIO K;VARGAS-MARTÍNEZ E;DELGADO-CRUZ A;SALCEDO A</t>
  </si>
  <si>
    <t>INNOVATION AND BUSINESS SUSTAINABILITY IN TOURISM. A SYSTEMATIC LITERATURE REVIEW</t>
  </si>
  <si>
    <t>MARTÍNEZ-RUBIO K, 2021, REV PERSPECT EMPERSA</t>
  </si>
  <si>
    <t>&lt;a href="https://doi.org/10.1016/j.heliyon.2022.e10566" target="_blank"&gt;10.1016/j.heliyon.2022.e10566&lt;/a&gt;</t>
  </si>
  <si>
    <t>RUSSO N;MAMEDE H;REIS L;SILVEIRA C</t>
  </si>
  <si>
    <t>FAMMOCN - DEMONSTRATION AND EVALUATION OF A FRAMEWORK FOR THE MULTIDISCIPLINARY ASSESSMENT OF ORGANISATIONAL MATURITY ON BUSINESS CONTINUITY</t>
  </si>
  <si>
    <t>RUSSO N, 2022, HELIYON</t>
  </si>
  <si>
    <t>&lt;a href="https://doi.org/10.1109/ICITSI.2018.8696075" target="_blank"&gt;10.1109/ICITSI.2018.8696075&lt;/a&gt;</t>
  </si>
  <si>
    <t>HERSYAH M;DERISMA D</t>
  </si>
  <si>
    <t>A LITERATURE REVIEW ON BUSINESS CONTINUITY BASED ON ISO 22301, SIX SIGMA AND CUSTOMER SATISFACTION EVALUATION</t>
  </si>
  <si>
    <t>HERSYAH M, 2018, INT CONF INF TECHNOL SYST INNOV, ICITSI - PROC</t>
  </si>
  <si>
    <t>&lt;a href="https://doi.org/10.9713/kcer.2014.52.6.743" target="_blank"&gt;10.9713/kcer.2014.52.6.743&lt;/a&gt;</t>
  </si>
  <si>
    <t>YANG J;SEOL J;YONG J;KO S;PARK C;YOO B;KO J</t>
  </si>
  <si>
    <t>A METHOD TO DEVELOP FOR EMERGENCY RESPONSE GUIDELINES USING BUSINESS CONTINUITY PLAN IN CHEMICAL PLANT</t>
  </si>
  <si>
    <t>YANG J, 2014, KOREAN CHEM ENG RES</t>
  </si>
  <si>
    <t>&lt;a href="https://doi.org/10.3130/aijs.77.783" target="_blank"&gt;10.3130/aijs.77.783&lt;/a&gt;</t>
  </si>
  <si>
    <t>YAMAGISHI K;SENNA S</t>
  </si>
  <si>
    <t>SIMPLIFIED PREDICTION METHOD OF RESTORATION TIME IN THE BUSINESS CONTINUITY MANAGEMENT FOR PRODUCTIVE FACILITIES</t>
  </si>
  <si>
    <t>YAMAGISHI K, 2012, J STRUCT CONSTR ENG</t>
  </si>
  <si>
    <t>&lt;a href="https://doi.org/10.1111/risa.14098" target="_blank"&gt;10.1111/risa.14098&lt;/a&gt;</t>
  </si>
  <si>
    <t>MANAGING BUSINESS CONTINUITY IN THE ARCTIC: EXPERIENCES FROM MINING</t>
  </si>
  <si>
    <t>TAARUP-ESBENSEN J, 2023, RISK ANAL</t>
  </si>
  <si>
    <t>&lt;a href="https://doi.org/10.1080/23311975.2023.2235754" target="_blank"&gt;10.1080/23311975.2023.2235754&lt;/a&gt;</t>
  </si>
  <si>
    <t>MOYO J;MUTSVANGWA S;CHABATA T;SIBANDA L;CHARI F</t>
  </si>
  <si>
    <t>BUSINESS CONTINUITY MANAGEMENT AND SUPPLY CHAIN DISRUPTIONS: A CASE OF HUMANITARIAN ORGANIZATIONS IN CYCLONE IDAI IN ZIMBABWE</t>
  </si>
  <si>
    <t>MOYO J, 2023, COGENT BUS MANAG</t>
  </si>
  <si>
    <t>&lt;a href="https://doi.org/10.1007/s13753-022-00412-7" target="_blank"&gt;10.1007/s13753-022-00412-7&lt;/a&gt;</t>
  </si>
  <si>
    <t>RAZAVI S;ASGARY A;KHALEGHI M</t>
  </si>
  <si>
    <t>THE IMPACT OF THE COVID-19 PANDEMIC ON IRANIAN OIL AND GAS INDUSTRY PLANNING: A SURVEY OF BUSINESS CONTINUITY CHALLENGES</t>
  </si>
  <si>
    <t>RAZAVI S, 2022, INT J DISAST RISK SC</t>
  </si>
  <si>
    <t>&lt;a href="https://doi.org/10.34659/eis.2022.80.1.422" target="_blank"&gt;10.34659/eis.2022.80.1.422&lt;/a&gt;</t>
  </si>
  <si>
    <t>AL-KHRABSHEH A;MURAD M;AL-KHHABSHEH A;AL-BAZAIAH S;ALRABAB'A M;AL-NSOUR M</t>
  </si>
  <si>
    <t>THE IMPACT OF CRISES SITUATIONS ON THE DEVELOPMENT OF BUSINESS CONTINUITY MANAGEMENT DURING THE COVID-19 PANDEMIC IN JORDANIAN HOSPITALS</t>
  </si>
  <si>
    <t>AL-KHRABSHEH A, 2022, EKON SROD</t>
  </si>
  <si>
    <t>&lt;a href="https://doi.org/10.1108/MSAR-01-2023-0004" target="_blank"&gt;10.1108/MSAR-01-2023-0004&lt;/a&gt;</t>
  </si>
  <si>
    <t>SAWALHA I;ANCHOR J</t>
  </si>
  <si>
    <t>INTERPRETATIONS OF BUSINESS CONTINUITY MANAGEMENT IN THE LIGHT OF COVID-19</t>
  </si>
  <si>
    <t>SAWALHA I, 2024, MANAG SUSTAIN</t>
  </si>
  <si>
    <t>&lt;a href="https://doi.org/10.31705/WCS.2022.69" target="_blank"&gt;10.31705/WCS.2022.69&lt;/a&gt;</t>
  </si>
  <si>
    <t>GOWSIGA M;KARTHEEPAN T</t>
  </si>
  <si>
    <t>THE IMPACT OF COVID-19 ON THE BUSINESS CONTINUITY OF THE SRI LANKAN APPAREL INDUSTRY: HUMAN RESOURCE MANAGEMENT (HRM)</t>
  </si>
  <si>
    <t>GOWSIGA M, 2022, WORLD CONSTR SYMP</t>
  </si>
  <si>
    <t>&lt;a href="https://doi.org/10.1016/j.procs.2015.07.099" target="_blank"&gt;10.1016/j.procs.2015.07.099&lt;/a&gt;</t>
  </si>
  <si>
    <t>DE C A D;DE A M</t>
  </si>
  <si>
    <t>BUSINESS CONTINUITY MANAGEMENT (BCM) APPLIED TO TRANSPETRO'S NATIONAL OPERATIONAL CONTROL CENTER - CNCO</t>
  </si>
  <si>
    <t>DE C A D, 2015, PROCEDIA COMPUT SCI</t>
  </si>
  <si>
    <t>&lt;a href="https://doi.org/10.20965/jdr.2014.p0752" target="_blank"&gt;10.20965/jdr.2014.p0752&lt;/a&gt;</t>
  </si>
  <si>
    <t>CONSIDERATION OF PUBLIC SUPPORT TO ENHANCE PRIVATE SECTOR’S BUSINESS CONTINUITY MANAGEMENT</t>
  </si>
  <si>
    <t>ONO T, 2014, J DISASTER RES</t>
  </si>
  <si>
    <t>&lt;a href="https://doi.org/10.20965/jdr.2012.p0386" target="_blank"&gt;10.20965/jdr.2012.p0386&lt;/a&gt;</t>
  </si>
  <si>
    <t>BUSINESS CONTINUITY PLANNING STATUS OF THE PRIVATE SECTOR IN THE ASIA PACIFIC REGION</t>
  </si>
  <si>
    <t>ONO T, 2012, J DISASTER RES</t>
  </si>
  <si>
    <t>&lt;a href="https://doi.org/10.7769/gesec.v14i3.1764" target="_blank"&gt;10.7769/gesec.v14i3.1764&lt;/a&gt;</t>
  </si>
  <si>
    <t>GATTO D;POSSAMAI M;SASSI R</t>
  </si>
  <si>
    <t>MAPO: BUSINESS CONTINUITY MANAGEMENT MODEL BASED ON GOOD IT GOVERNANCE PRACTICES</t>
  </si>
  <si>
    <t>GATTO D, 2023, REV GEST SECR-GESEC</t>
  </si>
  <si>
    <t>&lt;a href="https://doi.org/10.3390/app132111846" target="_blank"&gt;10.3390/app132111846&lt;/a&gt;</t>
  </si>
  <si>
    <t>RUSSO N;MAMEDE H;REIS L;MARTINS J;BRANCO F</t>
  </si>
  <si>
    <t>EXPLORING A MULTIDISCIPLINARY ASSESSMENT OF ORGANISATIONAL MATURITY IN BUSINESS CONTINUITY: A PERSPECTIVE AND FUTURE RESEARCH OUTLOOK</t>
  </si>
  <si>
    <t>RUSSO N, 2023, APPL SCI-BASEL</t>
  </si>
  <si>
    <t>&lt;a href="https://doi.org/10.1111/1468-5973.12627" target="_blank"&gt;10.1111/1468-5973.12627&lt;/a&gt;</t>
  </si>
  <si>
    <t>RATTANASAENG S;SUKHOTU V</t>
  </si>
  <si>
    <t>BUSINESS CONTINUITY MANAGEMENT DEPLOYMENT, COMMUNITY RESILIENCE, AND ORGANISATIONAL RESILIENCE IN PRIVATE INDUSTRY RESPONSE TO 2011 AYUTTHAYA FLOODING</t>
  </si>
  <si>
    <t>RATTANASAENG S, 2024, J CONTING CRISIS MAN</t>
  </si>
  <si>
    <t>&lt;a href="https://doi.org/10.32910/ep.73.5.1" target="_blank"&gt;10.32910/ep.73.5.1&lt;/a&gt;</t>
  </si>
  <si>
    <t>PAVKOVI A;SOLDO G;CESAREC A</t>
  </si>
  <si>
    <t>DETERMINANTS OF BUSINESS SUSTAINABILITY OF SMALL AND MEDIUM SIZED ENTERPRISES IN THE REPUBLIC OF CROATIA</t>
  </si>
  <si>
    <t>PAVKOVI A, 2022, EKON PREGL</t>
  </si>
  <si>
    <t>&lt;a href="https://doi.org/10.3849/cndcgs.2024.326" target="_blank"&gt;10.3849/cndcgs.2024.326&lt;/a&gt;</t>
  </si>
  <si>
    <t>MÄKKÁ K;KAMPOVÁ K</t>
  </si>
  <si>
    <t>CYBER SECURITY AND BUSINESS CONTINUITY MANAGEMENT: ENSURING RESILIENCE IN A DIGITAL WORLD</t>
  </si>
  <si>
    <t>MÄKKÁ K, 2024, CHALL NATL DEF CONTEMP GEOPOLIT SITUAT</t>
  </si>
  <si>
    <t>&lt;a href="https://doi.org/10.1016/j.procs.2024.03.053" target="_blank"&gt;10.1016/j.procs.2024.03.053&lt;/a&gt;</t>
  </si>
  <si>
    <t>PANDUWIYASA H;YANIS R;PUSPITASARI W</t>
  </si>
  <si>
    <t>HOW DIGITAL KNOWLEDGE MANAGEMENT AND THE MEDIATION OF EMPLOYEE COMMITMENT SUPPORT BUSINESS CONTINUITY: A CONCEPTUAL MODEL</t>
  </si>
  <si>
    <t>PANDUWIYASA H, 2024, PROCEDIA COMPUT SCI</t>
  </si>
  <si>
    <t>&lt;a href="https://doi.org/10.33168/JSMS.2024.0101" target="_blank"&gt;10.33168/JSMS.2024.0101&lt;/a&gt;</t>
  </si>
  <si>
    <t>RELIGIA A;UTAMA D</t>
  </si>
  <si>
    <t>A NOVEL FRAMEWORK FOR BUSINESS CONTINUITY PLAN IN PUBLIC SECTOR ORGANIZATION</t>
  </si>
  <si>
    <t>RELIGIA A, 2024, J SYST MANAG SCI</t>
  </si>
  <si>
    <t>&lt;a href="https://doi.org/10.17708/DRMJ.2023.V12N02A08" target="_blank"&gt;10.17708/DRMJ.2023.V12N02A08&lt;/a&gt;</t>
  </si>
  <si>
    <t>TIWARI P;GARG V</t>
  </si>
  <si>
    <t>EMPLOYEE ENGAGEMENT AND ITS IMPACT ON BUSINESS SUSTAINABILITY IN FINANCIAL INSTITUTIONS</t>
  </si>
  <si>
    <t>TIWARI P, 2023, DYN RELATSH MANAG J</t>
  </si>
  <si>
    <t>&lt;a href="https://doi.org/10.33168/JSMS.2023.0228" target="_blank"&gt;10.33168/JSMS.2023.0228&lt;/a&gt;</t>
  </si>
  <si>
    <t>DIONISIUS Y;UTAMA D</t>
  </si>
  <si>
    <t>EVALUATION OF THE IMPLEMENTATION OF BUSINESS CONTINUITY MANAGEMENT USING COBIT 2019 FRAMEWORK IN PUBLIC SECTOR</t>
  </si>
  <si>
    <t>DIONISIUS Y, 2023, J SYST MANAG SCI</t>
  </si>
  <si>
    <t>&lt;a href="https://doi.org/10.1016/j.ifacol.2022.10.036" target="_blank"&gt;10.1016/j.ifacol.2022.10.036&lt;/a&gt;</t>
  </si>
  <si>
    <t>SANCHIS R;MARCUCCI G;POLER R;CIARAPICA F</t>
  </si>
  <si>
    <t>BUSINESS CONTINUITY TRAINING: EDUCATIONAL PROGRAMME PROPOSAL</t>
  </si>
  <si>
    <t>SANCHIS R, 2022, IFAC-PAPERSONLINE</t>
  </si>
  <si>
    <t>&lt;a href="https://doi.org/10.1109/SMC53654.2022.9945437" target="_blank"&gt;10.1109/SMC53654.2022.9945437&lt;/a&gt;</t>
  </si>
  <si>
    <t>AMARA O;KAMISSOKO D;FIJALKOW Y;BENABEN F</t>
  </si>
  <si>
    <t>ASSESSING THE BUSINESS CONTINUITY OF A HEALTHCARE ORGANIZATION THROUGH A DATA-GATHERING MODALITY APPROACH</t>
  </si>
  <si>
    <t>AMARA O, 2022, CONF PROC IEEE INT CONF SYST MAN CYBERN</t>
  </si>
  <si>
    <t>&lt;a href="https://doi.org/10.1088/1755-1315/1065/1/012053" target="_blank"&gt;10.1088/1755-1315/1065/1/012053&lt;/a&gt;</t>
  </si>
  <si>
    <t>PURNAMA M;ADITYAWAN M;PRIBADI K;FARID M;WIDYANINGTIAS W;KUNTORO A</t>
  </si>
  <si>
    <t>TSUNAMI RISK ASSESSMENT IN BUSINESS CONTINUITY PLANNING FOR PALU SPECIAL ECONOMIC ZONE</t>
  </si>
  <si>
    <t>PURNAMA M, 2022, IOP CONF SER EARTH ENVIRON SCI</t>
  </si>
  <si>
    <t>&lt;a href="https://doi.org/10.1589/rika.36.657" target="_blank"&gt;10.1589/rika.36.657&lt;/a&gt;</t>
  </si>
  <si>
    <t>TOYOTA A;TANAKA K;HIRAGA A;SANO N;SUGANUMA K;SAIJO F;ANZAI K;WATANABE O;AIHARA M;WATANABE S;AOYAGI T;SHINNAGA T;NAKAYAMA A</t>
  </si>
  <si>
    <t>FORMULATING BUSINESS CONTINUITY MANAGEMENT FOR THE RESPONSE TO THE COVID-19 PANDEMIC IN A PHYSICAL THERAPY DEPARTMENT: THE PROCESS OF DESIGNING A STRATEGY FOR BUSINESS CONTINUITY AND FUTURE PROSPECTS OF THE DEPARTMENT</t>
  </si>
  <si>
    <t>TOYOTA A, 2021, RIGAKURYOHO KAGAKU</t>
  </si>
  <si>
    <t>&lt;a href="https://doi.org/10.1057/s41266-017-0021-7" target="_blank"&gt;10.1057/s41266-017-0021-7&lt;/a&gt;</t>
  </si>
  <si>
    <t>KRUIS A;SNELLER L</t>
  </si>
  <si>
    <t>BUSINESS CONTINUITY MANAGEMENT PUT TO THE TEST: A DRAMA IN TWO ACTS</t>
  </si>
  <si>
    <t>KRUIS A, 2018, J INFOR TECHNOL TEACH CLASSES</t>
  </si>
  <si>
    <t>&lt;a href="https://doi.org/10.1007/978-3-642-31875-7_29" target="_blank"&gt;10.1007/978-3-642-31875-7_29&lt;/a&gt;</t>
  </si>
  <si>
    <t>WINKLER U;GILANI W</t>
  </si>
  <si>
    <t>ERP B3: BUSINESS CONTINUITY SERVICE LEVEL AGREEMENT TRANSLATION AND OPTIMISATION</t>
  </si>
  <si>
    <t>WINKLER U, 2012, LECT NOTES COMPUT SCI</t>
  </si>
  <si>
    <t>&lt;a href="https://doi.org/10.20965/jdr.2012.p0363" target="_blank"&gt;10.20965/jdr.2012.p0363&lt;/a&gt;</t>
  </si>
  <si>
    <t>HIRUMA Y;NODA K</t>
  </si>
  <si>
    <t>SURVEY ON THE DISASTER PREPAREDNESS AND BUSINESS CONTINUITY OF COMPANIES IN THE GREAT EAST JAPAN EARTHQUAKE - IMPROVING THE BUSINESS VALUE BY THE INFORMATION SHARING AND DISCLOSURE OF BCPS -</t>
  </si>
  <si>
    <t>HIRUMA Y, 2012, J DISASTER RES</t>
  </si>
  <si>
    <t>&lt;a href="https://doi.org/10.1016/j.psep.2016.12.002" target="_blank"&gt;10.1016/j.psep.2016.12.002&lt;/a&gt;</t>
  </si>
  <si>
    <t>ZENG Z;ZIO E</t>
  </si>
  <si>
    <t>AN INTEGRATED MODELING FRAMEWORK FOR QUANTITATIVE BUSINESS CONTINUITY ASSESSMENT</t>
  </si>
  <si>
    <t>ZENG Z, 2017, PROCESS SAF ENVIRON</t>
  </si>
  <si>
    <t>&lt;a href="https://doi.org/10.1016/j.ress.2020.107067" target="_blank"&gt;10.1016/j.ress.2020.107067&lt;/a&gt;</t>
  </si>
  <si>
    <t>XING J;ZENG Z;ZIO E</t>
  </si>
  <si>
    <t>JOINT OPTIMIZATION OF SAFETY BARRIERS FOR ENHANCING BUSINESS CONTINUITY OF NUCLEAR POWER PLANTS AGAINST STEAM GENERATOR TUBE RUPTURES ACCIDENTS</t>
  </si>
  <si>
    <t>XING J, 2020, RELIAB ENG SYST SAFE</t>
  </si>
  <si>
    <t>&lt;a href="https://doi.org/10.20965/jdr.2016.p0691" target="_blank"&gt;10.20965/jdr.2016.p0691&lt;/a&gt;</t>
  </si>
  <si>
    <t>MONTSHIWA A;NAGAHIRA A;ISHIDA S</t>
  </si>
  <si>
    <t>MODIFYING BUSINESS CONTINUITY PLAN (BCP) TOWARDS AN EFFECTIVE AUTO-MOBILE BUSINESS CONTINUITY MANAGEMENT (BCM): A QUANTITATIVE APPROACH</t>
  </si>
  <si>
    <t>MONTSHIWA A, 2016, J DISASTER RES</t>
  </si>
  <si>
    <t>&lt;a href="https://doi.org/10.20965/jdr.2020.p0588" target="_blank"&gt;10.20965/jdr.2020.p0588&lt;/a&gt;</t>
  </si>
  <si>
    <t>SAPAPTHAI S;LEELAWAT N;TANG J;KODAKA A;CHINTANAPAKDEE C;INO E;WATANABE K</t>
  </si>
  <si>
    <t>A STAKEHOLDER ANALYSIS APPROACH FOR AREA BUSINESS CONTINUITY MANAGEMENT: A SYSTEMATIC REVIEW</t>
  </si>
  <si>
    <t>SAPAPTHAI S, 2020, J DISASTER RES</t>
  </si>
  <si>
    <t>&lt;a href="https://doi.org/10.1620/tjem.251.147" target="_blank"&gt;10.1620/tjem.251.147&lt;/a&gt;</t>
  </si>
  <si>
    <t>SASAKI H;MARUYA H;ABE Y;FUJITA M;FURUKAWA H;FUDA M;KAMEI T;YAEGASHI N;TOMINAGA T;EGAWA S</t>
  </si>
  <si>
    <t>SCOPING REVIEW OF HOSPITAL BUSINESS CONTINUITY PLANS TO VALIDATE THE IMPROVEMENT AFTER THE 2011 GREAT EAST JAPAN EARTHQUAKE AND TSUNAMI</t>
  </si>
  <si>
    <t>SASAKI H, 2020, TOHOKU J EXP MED</t>
  </si>
  <si>
    <t>&lt;a href="https://doi.org/10.1016/j.ijdrr.2019.101334" target="_blank"&gt;10.1016/j.ijdrr.2019.101334&lt;/a&gt;</t>
  </si>
  <si>
    <t>DYNAMIC BUSINESS CONTINUITY ASSESSMENT USING CONDITION MONITORING DATA</t>
  </si>
  <si>
    <t>XING J, 2019, INT J DISAST RISK RE</t>
  </si>
  <si>
    <t>&lt;a href="https://doi.org/10.1002/qre.1246" target="_blank"&gt;10.1002/qre.1246&lt;/a&gt;</t>
  </si>
  <si>
    <t>LIN C;KAO S;CHEN L</t>
  </si>
  <si>
    <t>A PROACTIVE OPERATIONAL FRAMEWORK FOR BUSINESS CONTINUITY IN THE SEMICONDUCTOR INDUSTRY</t>
  </si>
  <si>
    <t>LIN C, 2012, QUAL RELIAB ENG INT</t>
  </si>
  <si>
    <t>&lt;a href="https://doi.org/10.20965/jdr.2017.p0688" target="_blank"&gt;10.20965/jdr.2017.p0688&lt;/a&gt;</t>
  </si>
  <si>
    <t>MARUYA H;TORAYASHIKI T</t>
  </si>
  <si>
    <t>DAMAGE OF ENTERPRISES AND THEIR BUSINESS CONTINUITY IN THE 2016 KUMAMOTO EARTHQUAKE</t>
  </si>
  <si>
    <t>MARUYA H, 2017, J DISASTER RES</t>
  </si>
  <si>
    <t>&lt;a href="https://doi.org/10.1016/j.rineng.2024.101863" target="_blank"&gt;10.1016/j.rineng.2024.101863&lt;/a&gt;</t>
  </si>
  <si>
    <t>AMBARWATI R;DEDY ;DIJAYA R;ANSHORY I</t>
  </si>
  <si>
    <t>A MULTI-METHOD STUDY OF RISK ASSESSMENT AND HUMAN RISK CONTROL FOR POWER PLANT BUSINESS CONTINUITY IN INDONESIA</t>
  </si>
  <si>
    <t>AMBARWATI R, 2024, RESULTS ENG</t>
  </si>
  <si>
    <t>&lt;a href="https://doi.org/10.20965/jdr.2015.p1091" target="_blank"&gt;10.20965/jdr.2015.p1091&lt;/a&gt;</t>
  </si>
  <si>
    <t>MONTSHIWA A;NAGAHIRA A</t>
  </si>
  <si>
    <t>IMPACTS OF BUSINESS CONTINUITY MANAGEMENT (BCM) ON AUTOMOBILE PARTS MAKERS AGAINST NATURAL DISASTER EVENTS</t>
  </si>
  <si>
    <t>MONTSHIWA A, 2015, J DISASTER RES</t>
  </si>
  <si>
    <t>&lt;a href="https://doi.org/10.1109/ICSRS.2018.8688845" target="_blank"&gt;10.1109/ICSRS.2018.8688845&lt;/a&gt;</t>
  </si>
  <si>
    <t>JOINT OPTIMIZATION OF BUSINESS CONTINUITY BY DESIGNING SAFETY BARRIERS FOR ACCIDENT PREVENTION, MITIGATION AND EMERGENCY RESPONSES</t>
  </si>
  <si>
    <t>ZENG Z, 2019, PROC - INT CONF SYST RELIAB SAF, ICSRS</t>
  </si>
  <si>
    <t>&lt;a href="https://doi.org/10.20965/jdr.2016.p0496" target="_blank"&gt;10.20965/jdr.2016.p0496&lt;/a&gt;</t>
  </si>
  <si>
    <t>PUBLIC FORUM PROGRESS AND FUTURE OF BUSINESS CONTINUITY MANAGEMENT IN JAPAN – BASED ON THE LESSONS LEARNT AFTER THE GREAT EAST JAPAN EARTHQUAKE</t>
  </si>
  <si>
    <t>MARUYA H, 2016, J DISASTER RES</t>
  </si>
  <si>
    <t>&lt;a href="https://doi.org/10.18421/TEM102-18" target="_blank"&gt;10.18421/TEM102-18&lt;/a&gt;</t>
  </si>
  <si>
    <t>PODARAS A;NEJEDLOVÁ D;VRABCOVÁ P</t>
  </si>
  <si>
    <t>MULTI-HAZARD RISK ASSESSMENT POLICIES IN THE AGRARIAN SECTOR USING BUSINESS CONTINUITY DATA</t>
  </si>
  <si>
    <t>PODARAS A, 2021, TEM J</t>
  </si>
  <si>
    <t>&lt;a href="https://doi.org/10.18137/cardiometry.2022.24.849858" target="_blank"&gt;10.18137/cardiometry.2022.24.849858&lt;/a&gt;</t>
  </si>
  <si>
    <t>TIWARY R;SANDHANE R</t>
  </si>
  <si>
    <t>DESIGNING BUSINESS CONTINUITY PLAN FOR IT ORGANIZATIONS: A SYSTEMATIC LITERATURE REVIEW AND META-ANALYSIS</t>
  </si>
  <si>
    <t>TIWARY R, 2022, CARDIOMETRY</t>
  </si>
  <si>
    <t>&lt;a href="https://doi.org/10.3130/aijt.29.1215" target="_blank"&gt;10.3130/aijt.29.1215&lt;/a&gt;</t>
  </si>
  <si>
    <t>OHBUCHI M;FUJII A;SUZUKI R;YOSHIZAWA M;KONDO M;OZAKI F;MORI Y</t>
  </si>
  <si>
    <t>PROPOSALS OF ASSUMED CURVES FOR BUSINESS CONTINUITY PLAN BASED ON QUESTIONNAIRE SURVEY [アンケート調査に基づく事業継続計画に関する想定曲線の提案]</t>
  </si>
  <si>
    <t>OHBUCHI M, 2023, AIJ J TECHNOL DES</t>
  </si>
  <si>
    <t>&lt;a href="https://doi.org/10.3130/AIJT.29.435" target="_blank"&gt;10.3130/AIJT.29.435&lt;/a&gt;</t>
  </si>
  <si>
    <t>FUJII A;OHBUCHI M;SUZUKI R;YOSHIZAWA M;KONDO M</t>
  </si>
  <si>
    <t>QUESTIONNAIRE SURVEY ON AWARENESS OF CORPORATE BUSINESS CONTINUITY PLANS [企業の事業継続計画の認識に関するアンケート調査]</t>
  </si>
  <si>
    <t>FUJII A, 2023, AIJ J TECHNOL DES</t>
  </si>
  <si>
    <t>&lt;a href="https://doi.org/10.3130/aijt.18.1135" target="_blank"&gt;10.3130/aijt.18.1135&lt;/a&gt;</t>
  </si>
  <si>
    <t>OHTA H;ADACHI T;MIYAMURA M;NIIYAMA R</t>
  </si>
  <si>
    <t>STUDY ON EFFECTS OF GEOGRAPHY AND SOIL CONDITIONS ON BUSINESS CONTINUITY OF PUBLIC FACILITIES - NAGAOKA CITY OF THE MID NIIGATA PREFECTURE EARTHQUAKE IN 2004</t>
  </si>
  <si>
    <t>OHTA H, 2012, AIJ J TECHNOL DES</t>
  </si>
  <si>
    <t>&lt;a href="https://doi.org/10.3130/aijt.18.1125" target="_blank"&gt;10.3130/aijt.18.1125&lt;/a&gt;</t>
  </si>
  <si>
    <t>STUDY ON EFFECTS OF GEOGRAPHY AND SOIL CONDITIONS ON BUSINESS CONTINUITY OF FACILITIES FOR DAILY LIFE - THE MID NIIGATA PREFECTURE EARTHQUAKE IN 2004 AND THE NIIGATAKEN CHUETSU-OKI EARTHQUAKE IN 2007</t>
  </si>
  <si>
    <t>OHTA H, 2012, AIJ J TECHNOL DES-a</t>
  </si>
  <si>
    <t>&lt;a href="https://doi.org/10.20965/jdr.2012.p0376" target="_blank"&gt;10.20965/jdr.2012.p0376&lt;/a&gt;</t>
  </si>
  <si>
    <t>KAWAGUCHI H</t>
  </si>
  <si>
    <t>TREATMENT OF UNEXPECTED RISK ON BUSINESS CONTINUITY MANAGEMENT LEARNED FROM THE GREAT EAST JAPAN EARTHQUAKE</t>
  </si>
  <si>
    <t>KAWAGUCHI H, 2012, J DISASTER RES</t>
  </si>
  <si>
    <t>&lt;a href="https://doi.org/10.1016/j.indmarman.2019.04.005" target="_blank"&gt;10.1016/j.indmarman.2019.04.005&lt;/a&gt;</t>
  </si>
  <si>
    <t>SIVARAJAH U;IRANI Z;GUPTA S;MAHROOF K</t>
  </si>
  <si>
    <t>ROLE OF BIG DATA AND SOCIAL MEDIA ANALYTICS FOR BUSINESS TO BUSINESS SUSTAINABILITY: A PARTICIPATORY WEB CONTEXT</t>
  </si>
  <si>
    <t>SIVARAJAH U, 2020, IND MARKET MANAG</t>
  </si>
  <si>
    <t>&lt;a href="https://doi.org/10.3390/ijerph17217826" target="_blank"&gt;10.3390/ijerph17217826&lt;/a&gt;</t>
  </si>
  <si>
    <t>LI L;MSAAD H;SUN H;TAN M;LU Y;LAU A</t>
  </si>
  <si>
    <t>GREEN INNOVATION AND BUSINESS SUSTAINABILITY: NEW EVIDENCE FROM ENERGY INTENSIVE INDUSTRY IN CHINA</t>
  </si>
  <si>
    <t>LI L, 2020, INT J ENV RES PUB HE</t>
  </si>
  <si>
    <t>&lt;a href="https://doi.org/10.1002/csr.1912" target="_blank"&gt;10.1002/csr.1912&lt;/a&gt;</t>
  </si>
  <si>
    <t>A PLURALISTIC APPROACH TO ECONOMIC AND BUSINESS SUSTAINABILITY: A CRITICAL META-SYNTHESIS OF FOUNDATIONS, METRICS, AND EVIDENCE OF HUMAN AND LOCAL DEVELOPMENT</t>
  </si>
  <si>
    <t>GATTO A, 2020, CORP SOC RESP ENV MA</t>
  </si>
  <si>
    <t>&lt;a href="https://doi.org/10.1016/j.jbusres.2021.06.005" target="_blank"&gt;10.1016/j.jbusres.2021.06.005&lt;/a&gt;</t>
  </si>
  <si>
    <t>RAKSHIT S;ISLAM N;MONDAL S;PAUL T</t>
  </si>
  <si>
    <t>MOBILE APPS FOR SME BUSINESS SUSTAINABILITY DURING COVID-19 AND ONWARDS</t>
  </si>
  <si>
    <t>RAKSHIT S, 2021, J BUS RES</t>
  </si>
  <si>
    <t>&lt;a href="https://doi.org/10.3390/joitmc8010018" target="_blank"&gt;10.3390/joitmc8010018&lt;/a&gt;</t>
  </si>
  <si>
    <t>MENNE F;SURYA B;YUSUF M;SURIANI S;RUSLAN M;ISKANDAR I</t>
  </si>
  <si>
    <t>OPTIMIZING THE FINANCIAL PERFORMANCE OF SMES BASED ON SHARIA ECONOMY: PERSPECTIVE OF ECONOMIC BUSINESS SUSTAINABILITY AND OPEN INNOVATION</t>
  </si>
  <si>
    <t>MENNE F, 2022, J OPEN INNOV: TECHNOL MARK COMPLEX</t>
  </si>
  <si>
    <t>&lt;a href="https://doi.org/10.1016/j.jclepro.2019.119670" target="_blank"&gt;10.1016/j.jclepro.2019.119670&lt;/a&gt;</t>
  </si>
  <si>
    <t>DURST S;ZIEBA M</t>
  </si>
  <si>
    <t>KNOWLEDGE RISKS INHERENT IN BUSINESS SUSTAINABILITY</t>
  </si>
  <si>
    <t>DURST S, 2020, J CLEAN PROD</t>
  </si>
  <si>
    <t>&lt;a href="https://doi.org/10.1108/JABES-11-2019-0113" target="_blank"&gt;10.1108/JABES-11-2019-0113&lt;/a&gt;</t>
  </si>
  <si>
    <t>OTHMAN Z;NORDIN M;SADIQ M</t>
  </si>
  <si>
    <t>GST FRAUD PREVENTION TO ENSURE BUSINESS SUSTAINABILITY: A MALAYSIAN CASE STUDY</t>
  </si>
  <si>
    <t>OTHMAN Z, 2020, J ASIAN BUS ECON ST</t>
  </si>
  <si>
    <t>&lt;a href="https://doi.org/10.1016/j.jbusres.2020.12.060" target="_blank"&gt;10.1016/j.jbusres.2020.12.060&lt;/a&gt;</t>
  </si>
  <si>
    <t>WONG D;NGAI E</t>
  </si>
  <si>
    <t>ECONOMIC, ORGANIZATIONAL, AND ENVIRONMENTAL CAPABILITIES FOR BUSINESS SUSTAINABILITY COMPETENCE: FINDINGS FROM CASE STUDIES IN THE FASHION BUSINESS</t>
  </si>
  <si>
    <t>WONG D, 2021, J BUS RES</t>
  </si>
  <si>
    <t>&lt;a href="https://doi.org/10.1002/bse.2719" target="_blank"&gt;10.1002/bse.2719&lt;/a&gt;</t>
  </si>
  <si>
    <t>HERMELINGMEIER V;VON W T</t>
  </si>
  <si>
    <t>THE NEXUS OF BUSINESS SUSTAINABILITY AND ORGANIZATIONAL LEARNING: A SYSTEMATIC LITERATURE REVIEW TO IDENTIFY KEY LEARNING PRINCIPLES FOR BUSINESS TRANSFORMATION</t>
  </si>
  <si>
    <t>HERMELINGMEIER V, 2021, BUS STRATEG ENVIRON</t>
  </si>
  <si>
    <t>&lt;a href="https://doi.org/10.1057/jors.2010.69" target="_blank"&gt;10.1057/jors.2010.69&lt;/a&gt;</t>
  </si>
  <si>
    <t>CHALMETA R;PALOMERO S</t>
  </si>
  <si>
    <t>METHODOLOGICAL PROPOSAL FOR BUSINESS SUSTAINABILITY MANAGEMENT BY MEANS OF THE BALANCED SCORECARD</t>
  </si>
  <si>
    <t>CHALMETA R, 2011, J OPER RES SOC</t>
  </si>
  <si>
    <t>&lt;a href="https://doi.org/10.5267/j.ijdns.2021.6.006" target="_blank"&gt;10.5267/j.ijdns.2021.6.006&lt;/a&gt;</t>
  </si>
  <si>
    <t>PURBA M;SIMANJUTAK D;MALAU Y;SHOLIHAT W;AHMADI E</t>
  </si>
  <si>
    <t>THE EFFECT OF DIGITAL MARKETING AND E-COMMERCE ON FINANCIAL PERFORMANCE AND BUSINESS SUSTAINABILITY OF MSMES DURING COVID-19 PANDEMIC IN INDONESIA</t>
  </si>
  <si>
    <t>PURBA M, 2021, INT J DATA NETW SCI</t>
  </si>
  <si>
    <t>&lt;a href="https://doi.org/10.3390/su12041545" target="_blank"&gt;10.3390/su12041545&lt;/a&gt;</t>
  </si>
  <si>
    <t>GROSS-GOLACKA E;KUSTERKA-JEFMANSKA M;JEFMANSKI B</t>
  </si>
  <si>
    <t>CAN ELEMENTS OF INTELLECTUAL CAPITAL IMPROVE BUSINESS SUSTAINABILITY?-THE PERSPECTIVE OF MANAGERS OF SMES IN POLAND</t>
  </si>
  <si>
    <t>GROSS-GOLACKA E, 2020, SUSTAINABILITY-BASEL</t>
  </si>
  <si>
    <t>&lt;a href="https://doi.org/10.1108/TQM-02-2020-0032" target="_blank"&gt;10.1108/TQM-02-2020-0032&lt;/a&gt;</t>
  </si>
  <si>
    <t>ROSSATO C;CASTELLANI P</t>
  </si>
  <si>
    <t>THE CONTRIBUTION OF DIGITALISATION TO BUSINESS LONGEVITY FROM A COMPETITIVENESS PERSPECTIVE</t>
  </si>
  <si>
    <t>ROSSATO C, 2020, TQM J</t>
  </si>
  <si>
    <t>&lt;a href="https://doi.org/10.3390/su14031326" target="_blank"&gt;10.3390/su14031326&lt;/a&gt;</t>
  </si>
  <si>
    <t>DIMA A;BUGHEANU A;DINULESCU R;POTCOVARU A;STEFANESCU C;MARIN I</t>
  </si>
  <si>
    <t>EXPLORING THE RESEARCH REGARDING FRUGAL INNOVATION AND BUSINESS SUSTAINABILITY THROUGH BIBLIOMETRIC ANALYSIS</t>
  </si>
  <si>
    <t>DIMA A, 2022, SUSTAINABILITY-BASEL</t>
  </si>
  <si>
    <t>&lt;a href="https://doi.org/10.3390/ijerph20031851" target="_blank"&gt;10.3390/ijerph20031851&lt;/a&gt;</t>
  </si>
  <si>
    <t>LI W;BHUTTO M;WARIS I;HU T</t>
  </si>
  <si>
    <t>THE NEXUS BETWEEN ENVIRONMENTAL CORPORATE SOCIAL RESPONSIBILITY, GREEN INTELLECTUAL CAPITAL AND GREEN INNOVATION TOWARDS BUSINESS SUSTAINABILITY: AN EMPIRICAL ANALYSIS OF CHINESE AUTOMOBILE MANUFACTURING FIRMS</t>
  </si>
  <si>
    <t>LI W, 2023, INT J ENVIRON RES PUBLIC HEALTH</t>
  </si>
  <si>
    <t>&lt;a href="https://doi.org/10.13106/jafeb.2019.vol6.no4.235" target="_blank"&gt;10.13106/jafeb.2019.vol6.no4.235&lt;/a&gt;</t>
  </si>
  <si>
    <t>LEE W;KIM B</t>
  </si>
  <si>
    <t>THE EFFECTS OF CAREER ORIENTATIONS ON ENTREPRENEURIAL SATISFACTION AND BUSINESS SUSTAINABILITY</t>
  </si>
  <si>
    <t>LEE W, 2019, J ASIAN FINANC ECON</t>
  </si>
  <si>
    <t>&lt;a href="https://doi.org/10.1108/IJSHE-05-2017-0075" target="_blank"&gt;10.1108/IJSHE-05-2017-0075&lt;/a&gt;</t>
  </si>
  <si>
    <t>ENHANCING STUDENT ENGAGEMENT IN BUSINESS SUSTAINABILITY THROUGH GAMES</t>
  </si>
  <si>
    <t>EMBLEN-PERRY K, 2018, INT J SUST HIGHER ED</t>
  </si>
  <si>
    <t>&lt;a href="https://doi.org/10.3390/resources8040159" target="_blank"&gt;10.3390/resources8040159&lt;/a&gt;</t>
  </si>
  <si>
    <t>CIRCULAR ECONOMY AND ITS COMPARISON WITH 14 OTHER BUSINESS SUSTAINABILITY MOVEMENTS</t>
  </si>
  <si>
    <t>TÓTH G, 2019, RESOURCES-BASEL</t>
  </si>
  <si>
    <t>&lt;a href="https://doi.org/10.3390/su9111964" target="_blank"&gt;10.3390/su9111964&lt;/a&gt;</t>
  </si>
  <si>
    <t>SHEN K;YAN M;TZENG G</t>
  </si>
  <si>
    <t>EXPLORING R&amp;D INFLUENCES ON FINANCIAL PERFORMANCE FOR BUSINESS SUSTAINABILITY CONSIDERING DUAL PROFITABILITY OBJECTIVES</t>
  </si>
  <si>
    <t>SHEN K, 2017, SUSTAINABILITY-BASEL</t>
  </si>
  <si>
    <t>&lt;a href="https://doi.org/10.3390/su11184851" target="_blank"&gt;10.3390/su11184851&lt;/a&gt;</t>
  </si>
  <si>
    <t>BUSINESS SUSTAINABILITY OF START-UPS BASED ON GOVERNMENT SUPPORT: AN EMPIRICAL STUDY OF KOREAN START-UPS</t>
  </si>
  <si>
    <t>LEE W, 2019, SUSTAINABILITY-BASEL</t>
  </si>
  <si>
    <t>&lt;a href="https://doi.org/10.3390/su12156026" target="_blank"&gt;10.3390/su12156026&lt;/a&gt;</t>
  </si>
  <si>
    <t>THE STRATEGIC CHANGE MATRIX AND BUSINESS SUSTAINABILITY ACROSS COVID-19</t>
  </si>
  <si>
    <t>HAMILTON J, 2020, SUSTAINABILITY-BASEL</t>
  </si>
  <si>
    <t>&lt;a href="https://doi.org/10.1016/j.heliyon.2022.e12763" target="_blank"&gt;10.1016/j.heliyon.2022.e12763&lt;/a&gt;</t>
  </si>
  <si>
    <t>WARDANA L;AHMAD ;INDRAWATI A;MAULA F;MAHENDRA A;FATIHIN M;RAHMA A;NAFISA A;PUTRI A;NARMADITYA B</t>
  </si>
  <si>
    <t>DO DIGITAL LITERACY AND BUSINESS SUSTAINABILITY MATTER FOR CREATIVE ECONOMY? THE ROLE OF ENTREPRENEURIAL ATTITUDE</t>
  </si>
  <si>
    <t>WARDANA L, 2023, HELIYON</t>
  </si>
  <si>
    <t>&lt;a href="https://doi.org/10.3390/su13031192" target="_blank"&gt;10.3390/su13031192&lt;/a&gt;</t>
  </si>
  <si>
    <t>VIDMAR D;MAROLT M;PUCIHAR A</t>
  </si>
  <si>
    <t>INFORMATION TECHNOLOGY FOR BUSINESS SUSTAINABILITY: A LITERATURE REVIEW WITH AUTOMATED CONTENT ANALYSIS</t>
  </si>
  <si>
    <t>VIDMAR D, 2021, SUSTAINABILITY-BASEL</t>
  </si>
  <si>
    <t>&lt;a href="https://doi.org/10.3390/su132313091" target="_blank"&gt;10.3390/su132313091&lt;/a&gt;</t>
  </si>
  <si>
    <t>NAJIB M;RAHMAN A;ABROR A;RACHMAWATI R;SIMANJUNTAK M;PRASETYA P;SUHARTANTO D;FAHMA F</t>
  </si>
  <si>
    <t>LEADERS' SUPPORT OF SUSTAINABLE INNOVATION AND BUSINESS SUSTAINABILITY IN DEVELOPING COUNTRIES: EVIDENCE FROM SMALL AND MEDIUM FOOD PROCESSING ENTERPRISES</t>
  </si>
  <si>
    <t>NAJIB M, 2021, SUSTAINABILITY-BASEL</t>
  </si>
  <si>
    <t>&lt;a href="https://doi.org/10.21511/ppm.21(1).2023.11" target="_blank"&gt;10.21511/ppm.21(1).2023.11&lt;/a&gt;</t>
  </si>
  <si>
    <t>WIDAGDO B;SA'DIYAH C</t>
  </si>
  <si>
    <t>BUSINESS SUSTAINABILITY: FUNCTIONS OF FINANCIAL BEHAVIOR, TECHNOLOGY, AND KNOWLEDGE</t>
  </si>
  <si>
    <t>WIDAGDO B, 2023, PROBL PERSPECT MANAGE</t>
  </si>
  <si>
    <t>&lt;a href="https://doi.org/10.1016/j.indic.2022.100187" target="_blank"&gt;10.1016/j.indic.2022.100187&lt;/a&gt;</t>
  </si>
  <si>
    <t>IAKOVIDIS D;GADANAKIS Y;PARK J</t>
  </si>
  <si>
    <t>FARM-LEVEL SUSTAINABILITY ASSESSMENT IN MEDITERRANEAN ENVIRONMENTS: ENHANCING DECISION-MAKING TO IMPROVE BUSINESS SUSTAINABILITY</t>
  </si>
  <si>
    <t>IAKOVIDIS D, 2022, ENVIRON SUSTAIN IND</t>
  </si>
  <si>
    <t>&lt;a href="https://doi.org/10.1080/1331677X.2022.2125035" target="_blank"&gt;10.1080/1331677X.2022.2125035&lt;/a&gt;</t>
  </si>
  <si>
    <t>JIAO X;ZHANG P;HE L;LI Z</t>
  </si>
  <si>
    <t>BUSINESS SUSTAINABILITY FOR COMPETITIVE ADVANTAGE: IDENTIFYING THE ROLE OF GREEN INTELLECTUAL CAPITAL, ENVIRONMENTAL MANAGEMENT ACCOUNTING AND ENERGY EFFICIENCY</t>
  </si>
  <si>
    <t>JIAO X, 2022, ECON RES-EKON ISTRAZ</t>
  </si>
  <si>
    <t>&lt;a href="https://doi.org/10.1177/1177180121994680" target="_blank"&gt;10.1177/1177180121994680&lt;/a&gt;</t>
  </si>
  <si>
    <t>RANSFIELD A;REICHENBERGER I</t>
  </si>
  <si>
    <t>MAORI INDIGENOUS VALUES AND TOURISM BUSINESS SUSTAINABILITY</t>
  </si>
  <si>
    <t>RANSFIELD A, 2021, ALTERNATIVE</t>
  </si>
  <si>
    <t>&lt;a href="https://doi.org/10.3390/su11030582" target="_blank"&gt;10.3390/su11030582&lt;/a&gt;</t>
  </si>
  <si>
    <t>HUANG J;SHEN K;SHIEH J;TZENG G</t>
  </si>
  <si>
    <t>STRENGTHEN FINANCIAL HOLDING COMPANIES' BUSINESS SUSTAINABILITY BY USING A HYBRID CORPORATE GOVERNANCE EVALUATION MODEL</t>
  </si>
  <si>
    <t>HUANG J, 2019, SUSTAINABILITY-BASEL</t>
  </si>
  <si>
    <t>&lt;a href="https://doi.org/10.30924/mjcmi/2018.23.1.99" target="_blank"&gt;10.30924/mjcmi/2018.23.1.99&lt;/a&gt;</t>
  </si>
  <si>
    <t>FILIPOVIĆ D;KRIŠTO M;PODRUG N</t>
  </si>
  <si>
    <t>IMPACT OF CRISIS SITUATIONS ON DEVELOPMENT OF BUSINESS CONTINUITY MANAGEMENT IN CROATIA [DJELOVANJE KRIZNIH SITUACIJA NA RAZVOJ UPRAVLJANJA POSLOVNIM KONTINUITETOM U HRVATSKOJ]</t>
  </si>
  <si>
    <t>FILIPOVIĆ D, 2018, MANAGEMENT</t>
  </si>
  <si>
    <t>&lt;a href="https://doi.org/10.1177/08944865231154835" target="_blank"&gt;10.1177/08944865231154835&lt;/a&gt;</t>
  </si>
  <si>
    <t>HAAG K;ACHTENHAGEN L;GRIMM J</t>
  </si>
  <si>
    <t>ENGAGING WITH THE CATEGORY: EXPLORING FAMILY BUSINESS LONGEVITY FROM A HISTORICAL PERSPECTIVE</t>
  </si>
  <si>
    <t>HAAG K, 2023, FAM BUS REV</t>
  </si>
  <si>
    <t>&lt;a href="https://doi.org/10.3390/en15103610" target="_blank"&gt;10.3390/en15103610&lt;/a&gt;</t>
  </si>
  <si>
    <t>KOSMOWSKI K;PIESIK E;PIESIK J;SLIWINSKI M</t>
  </si>
  <si>
    <t>INTEGRATED FUNCTIONAL SAFETY AND CYBERSECURITY EVALUATION IN A FRAMEWORK FOR BUSINESS CONTINUITY MANAGEMENT</t>
  </si>
  <si>
    <t>KOSMOWSKI K, 2022, ENERGIES</t>
  </si>
  <si>
    <t>&lt;a href="https://doi.org/10.15678/EBER.2019.070309" target="_blank"&gt;10.15678/EBER.2019.070309&lt;/a&gt;</t>
  </si>
  <si>
    <t>ASIM S;LI C;MAKHDOOM H;ZAFAR Z</t>
  </si>
  <si>
    <t>ENTREPRENEURIAL TECHNOLOGY OPPORTUNISM AND ITS IMPACT ON BUSINESS SUSTAINABILITY WITH THE MODERATION OF GOVERNMENT REGULATIONS</t>
  </si>
  <si>
    <t>ASIM S, 2019, ENTREPR BUS ECON REV</t>
  </si>
  <si>
    <t>&lt;a href="https://doi.org/10.3390/su15032827" target="_blank"&gt;10.3390/su15032827&lt;/a&gt;</t>
  </si>
  <si>
    <t>MUJIANTO M;HARTOYO H;NURMALINA R;YUSUF E</t>
  </si>
  <si>
    <t>THE UNRAVELING LOYALTY MODEL OF TRADITIONAL RETAIL TO SUPPLIERS FOR BUSINESS SUSTAINABILITY IN THE DIGITAL TRANSFORMATION ERA: INSIGHT FROM MSMES IN INDONESIA</t>
  </si>
  <si>
    <t>MUJIANTO M, 2023, SUSTAINABILITY-BASEL</t>
  </si>
  <si>
    <t>&lt;a href="https://doi.org/10.1016/j.sftr.2022.100075" target="_blank"&gt;10.1016/j.sftr.2022.100075&lt;/a&gt;</t>
  </si>
  <si>
    <t>ALQERSHI N;SAUFI R;MOKHTAR S;MUHAMMAD N;BIN Y M</t>
  </si>
  <si>
    <t>IS STRATEGIC ORIENTATION ALWAYS BENEFICIAL? A META-ANALYSIS OF THE RELATIONSHIP BETWEEN INNOVATION AND BUSINESS SUSTAINABILITY: A DYNAMIC CAPABILITIES PERSPECTIVE FROM MALAYSIAN INSURANCE COMPANIES</t>
  </si>
  <si>
    <t>ALQERSHI N, 2022, SUSTAIN FUTURES</t>
  </si>
  <si>
    <t>&lt;a href="https://doi.org/10.18280/ijsdp.170120" target="_blank"&gt;10.18280/ijsdp.170120&lt;/a&gt;</t>
  </si>
  <si>
    <t>MUAFI M;ROOSTIKA R</t>
  </si>
  <si>
    <t>MSMES BUSINESS SUSTAINABILITY MODELS IN INDONESIA</t>
  </si>
  <si>
    <t>MUAFI M, 2022, INT J SUSTAINABLE DEV PLANN</t>
  </si>
  <si>
    <t>&lt;a href="https://doi.org/10.1109/CAIPT.2017.8320736" target="_blank"&gt;10.1109/CAIPT.2017.8320736&lt;/a&gt;</t>
  </si>
  <si>
    <t>SETIAWAN A;WIBOWO A;SUSILO A</t>
  </si>
  <si>
    <t>RISK ANALYSIS ON THE DEVELOPMENT OF A BUSINESS CONTINUITY PLAN</t>
  </si>
  <si>
    <t>SETIAWAN A, 2017, PROC INT CONF COMPUT APPL INF PROCESS TECHNOL, CAIPT</t>
  </si>
  <si>
    <t>&lt;a href="https://doi.org/10.5755/j01.ee.22.1.216" target="_blank"&gt;10.5755/j01.ee.22.1.216&lt;/a&gt;</t>
  </si>
  <si>
    <t>BARTKUS E;GRUNDA R</t>
  </si>
  <si>
    <t>BUSINESS SUSTAINABILITY ASSESSMENT: COMPARING RESULTS OF TWO STUDIES [VERSLO DARNUMO VERTINIMAS: DVIEJŲ TYRIMŲ PALYGINIMAS]</t>
  </si>
  <si>
    <t>BARTKUS E, 2011, ENG ECON</t>
  </si>
  <si>
    <t>&lt;a href="https://doi.org/10.1177/0021943609333525" target="_blank"&gt;10.1177/0021943609333525&lt;/a&gt;</t>
  </si>
  <si>
    <t>ADKINS G;THORNTON T;BLAKE K</t>
  </si>
  <si>
    <t>A CONTENT ANALYSIS INVESTIGATING RELATIONSHIPS BETWEEN COMMUNICATION AND BUSINESS CONTINUITY PLANNING</t>
  </si>
  <si>
    <t>ADKINS G, 2009, J BUS COMMUN</t>
  </si>
  <si>
    <t>&lt;a href="https://doi.org/10.3390/su15118588" target="_blank"&gt;10.3390/su15118588&lt;/a&gt;</t>
  </si>
  <si>
    <t>XIAOYI Z;YANG H;KUMAR N;BHUTTO M;KUN W;HU T</t>
  </si>
  <si>
    <t>ASSESSING CHINESE TEXTILE AND APPAREL INDUSTRY BUSINESS SUSTAINABILITY: THE ROLE OF ORGANIZATION GREEN CULTURE, GREEN DYNAMIC CAPABILITIES, AND GREEN INNOVATION IN RELATION TO ENVIRONMENTAL ORIENTATION AND BUSINESS SUSTAINABILITY</t>
  </si>
  <si>
    <t>XIAOYI Z, 2023, SUSTAINABILITY-BASEL</t>
  </si>
  <si>
    <t>&lt;a href="https://doi.org/10.1111/basr.12271" target="_blank"&gt;10.1111/basr.12271&lt;/a&gt;</t>
  </si>
  <si>
    <t>UFUA D;OLUJOBI O;TAHIR H;OKAFOR V;IMHONOPI D;OSABUOHIEN E</t>
  </si>
  <si>
    <t>SOCIAL SERVICES PROVISION AND STAKEHOLDER ENGAGEMENT IN THE NIGERIAN INFORMAL SECTOR: A SYSTEMIC CONCEPT FOR TRANSFORMATION AND BUSINESS SUSTAINABILITY</t>
  </si>
  <si>
    <t>UFUA D, 2022, BUS SOC REV</t>
  </si>
  <si>
    <t>&lt;a href="https://doi.org/10.5267/j.uscm.2021.11.001" target="_blank"&gt;10.5267/j.uscm.2021.11.001&lt;/a&gt;</t>
  </si>
  <si>
    <t>AIGBOGUN O;XING M;FAWEHINMI O;IBEABUCHI C;EHIDO A;AHMAD R;ABDULLAHI M</t>
  </si>
  <si>
    <t>A SUPPLY CHAIN RESILIENCE MODEL FOR BUSINESS CONTINUITY: THE WAY FORWARD FOR HIGHLY REGULATED INDUSTRIES</t>
  </si>
  <si>
    <t>AIGBOGUN O, 2022, UNCERTAIN SUPPLY CHAIN MANAG</t>
  </si>
  <si>
    <t>&lt;a href="https://doi.org/10.3390/su12219172" target="_blank"&gt;10.3390/su12219172&lt;/a&gt;</t>
  </si>
  <si>
    <t>BUSINESS SUSTAINABILITY STRATEGY IN A COOPERATIVE KIBBUTZ INDUSTRY</t>
  </si>
  <si>
    <t>MOSKOVICH Y, 2020, SUSTAINABILITY-BASEL</t>
  </si>
  <si>
    <t>&lt;a href="https://doi.org/10.20965/jdr.2022.p0853" target="_blank"&gt;10.20965/jdr.2022.p0853&lt;/a&gt;</t>
  </si>
  <si>
    <t>KODAKA A;LEELAWAT N;WATANABE K;PARK J;TANG J;INO E;KOHTAKE N</t>
  </si>
  <si>
    <t>INDUSTRIAL AREA BUSINESS CONTINUITY MANAGEMENT EXERCISE: AN EXPERIMENTAL VALIDATION FOR FLOOD IN THAILAND</t>
  </si>
  <si>
    <t>KODAKA A, 2022, J DISASTER RES</t>
  </si>
  <si>
    <t>&lt;a href="https://doi.org/10.1080/23311975.2022.2115621" target="_blank"&gt;10.1080/23311975.2022.2115621&lt;/a&gt;</t>
  </si>
  <si>
    <t>ASRIATI N;SYAMSURI S;THOHARUDIN M;WARDANI S;PUTRA A</t>
  </si>
  <si>
    <t>ANALYSIS OF BUSINESS BEHAVIOR AND HRM PERSPECTIVES ON POST-COVID-19 SME BUSINESS SUSTAINABILITY</t>
  </si>
  <si>
    <t>ASRIATI N, 2022, COGENT BUS MANAG</t>
  </si>
  <si>
    <t>&lt;a href="https://doi.org/10.1016/j.egyr.2021.05.026" target="_blank"&gt;10.1016/j.egyr.2021.05.026&lt;/a&gt;</t>
  </si>
  <si>
    <t>SUÁREZ-GÓMEZ J;POLANCO J;ESCOBAR-SIERRA M</t>
  </si>
  <si>
    <t>UNDERSTANDING THE ROLE OF TERRITORIAL FACTORS IN THE LARGE-SCALE HYDROPOWER BUSINESS SUSTAINABILITY: A SYSTEMATIC LITERATURE REVIEW</t>
  </si>
  <si>
    <t>SUÁREZ-GÓMEZ J, 2021, ENERGY REP</t>
  </si>
  <si>
    <t>&lt;a href="https://doi.org/10.1177/21582440231221320" target="_blank"&gt;10.1177/21582440231221320&lt;/a&gt;</t>
  </si>
  <si>
    <t>TJAHJADI B;SOEWARNO N;ANWAR D;FAIRUZI A</t>
  </si>
  <si>
    <t>EFFECT OF HUMAN CAPITAL AND INFORMATION CAPITAL READINESS ON BUSINESS SUSTAINABILITY: DO MARKET ORIENTATION AND BUSINESS PERFORMANCE MATTER?</t>
  </si>
  <si>
    <t>TJAHJADI B, 2024, SAGE OPEN</t>
  </si>
  <si>
    <t>&lt;a href="https://doi.org/10.3926/jiem.4152" target="_blank"&gt;10.3926/jiem.4152&lt;/a&gt;</t>
  </si>
  <si>
    <t>SETYANINGRUM R;MUAFI M</t>
  </si>
  <si>
    <t>GREEN HUMAN RESOURCE MANAGEMENT, GREEN SUPPLY CHAIN MANAGEMENT, GREEN LIFESTYLE: THEIR EFFECT ON BUSINESS SUSTAINABILITY MEDIATED BY DIGITAL SKILLS</t>
  </si>
  <si>
    <t>SETYANINGRUM R, 2023, J IND ENG MANAG-JIEM</t>
  </si>
  <si>
    <t>&lt;a href="https://doi.org/10.1016/j.techfore.2022.122081" target="_blank"&gt;10.1016/j.techfore.2022.122081&lt;/a&gt;</t>
  </si>
  <si>
    <t>ALQERSHI N;SAUFI R;ISMAIL N;MOHAMAD M;RAMAYAH T;MUHAMMAD N;YUSOFF M</t>
  </si>
  <si>
    <t>THE MODERATING ROLE OF MARKET TURBULENCE BEYOND THE COVID-19 PANDEMIC AND RUSSIA-UKRAINE CRISIS ON THE RELATIONSHIP BETWEEN INTELLECTUAL CAPITAL AND BUSINESS SUSTAINABILITY</t>
  </si>
  <si>
    <t>ALQERSHI N, 2023, TECHNOL FORECAST SOC</t>
  </si>
  <si>
    <t>&lt;a href="https://doi.org/10.15446/dyna.v85n207.71209" target="_blank"&gt;10.15446/dyna.v85n207.71209&lt;/a&gt;</t>
  </si>
  <si>
    <t>VALENCIA-RODRÍGUEZ O;OLIVAR-TOST G;REDONDO J</t>
  </si>
  <si>
    <t>MODELING A PRODUCTIVE SYSTEM INCORPORATING ELEMENTS OF BUSINESS SUSTAINABILITY [MODELADO DE UN SISTEMA PRODUCTIVO INCORPORANDO ELEMENTOS DE LA SOSTENIBILIDAD EMPRESARIAL]</t>
  </si>
  <si>
    <t>VALENCIA-RODRÍGUEZ O, 2018, DYNA</t>
  </si>
  <si>
    <t>&lt;a href="https://doi.org/10.1002/bse.3493" target="_blank"&gt;10.1002/bse.3493&lt;/a&gt;</t>
  </si>
  <si>
    <t>SAUNILA M;UKKO J;KINNUNEN J</t>
  </si>
  <si>
    <t>SUSTAINABILITY PARTNERSHIP AS A MODERATOR IN THE RELATIONSHIP BETWEEN BUSINESS SUSTAINABILITY AND FIRM COMPETITIVENESS</t>
  </si>
  <si>
    <t>SAUNILA M, 2024, BUS STRATEG ENVIRON</t>
  </si>
  <si>
    <t>&lt;a href="https://doi.org/10.3390/su151612668" target="_blank"&gt;10.3390/su151612668&lt;/a&gt;</t>
  </si>
  <si>
    <t>KURNIASARI F;LESTARI E;TANNADY H</t>
  </si>
  <si>
    <t>PURSUING LONG-TERM BUSINESS PERFORMANCE: INVESTIGATING THE EFFECTS OF FINANCIAL AND TECHNOLOGICAL FACTORS ON DIGITAL ADOPTION TO LEVERAGE SME PERFORMANCE AND BUSINESS SUSTAINABILITY-EVIDENCE FROM INDONESIAN SMES IN THE TRADITIONAL MARKET</t>
  </si>
  <si>
    <t>KURNIASARI F, 2023, SUSTAINABILITY-BASEL</t>
  </si>
  <si>
    <t>&lt;a href="https://doi.org/10.5267/j.uscm.2023.8.008" target="_blank"&gt;10.5267/j.uscm.2023.8.008&lt;/a&gt;</t>
  </si>
  <si>
    <t>TWAISSI N;ALAWAD A</t>
  </si>
  <si>
    <t>LESSON LEARNED FROM COVID-19 PANDEMIC AND ITS IMPACT ON BUSINESS CONTINUITY MANAGEMENT BCM IN THE TOURISM SECTOR IN JORDAN</t>
  </si>
  <si>
    <t>TWAISSI N, 2023, UNCERTAIN SUPPLY CHAIN MANAG</t>
  </si>
  <si>
    <t>&lt;a href="https://doi.org/10.1109/ACCESS.2022.3190970" target="_blank"&gt;10.1109/ACCESS.2022.3190970&lt;/a&gt;</t>
  </si>
  <si>
    <t>HE H;LIU Y;GAO J;JING D</t>
  </si>
  <si>
    <t>INVESTIGATING BUSINESS SUSTAINABILITY OF CROWDSOURCING PLATFORMS</t>
  </si>
  <si>
    <t>HE H, 2022, IEEE ACCESS</t>
  </si>
  <si>
    <t>&lt;a href="https://doi.org/10.18421/TEM111-13" target="_blank"&gt;10.18421/TEM111-13&lt;/a&gt;</t>
  </si>
  <si>
    <t>HUSSAIN W;AZIZ N</t>
  </si>
  <si>
    <t>MOBILE MARKETING IN BUSINESS SUSTAINABILITY: A BIBLIOMETRIC ANALYSIS</t>
  </si>
  <si>
    <t>HUSSAIN W, 2022, TEM J</t>
  </si>
  <si>
    <t>&lt;a href="https://doi.org/10.3390/su13010005" target="_blank"&gt;10.3390/su13010005&lt;/a&gt;</t>
  </si>
  <si>
    <t>AHN H;JEONG E;CHO H</t>
  </si>
  <si>
    <t>TOWARD AN UNDERSTANDING OF FAMILY BUSINESS SUSTAINABILITY: A NETWORK-BASED SYSTEMATIC REVIEW</t>
  </si>
  <si>
    <t>AHN H, 2021, SUSTAINABILITY-BASEL</t>
  </si>
  <si>
    <t>&lt;a href="https://doi.org/10.1016/j.ijis.2023.05.002" target="_blank"&gt;10.1016/j.ijis.2023.05.002&lt;/a&gt;</t>
  </si>
  <si>
    <t>ASONGU S;RAHMAN M;ALGHABABSHEH M</t>
  </si>
  <si>
    <t>INFORMATION TECHNOLOGY, BUSINESS SUSTAINABILITY AND FEMALE ECONOMIC PARTICIPATION IN SUB-SAHARAN AFRICA</t>
  </si>
  <si>
    <t>ASONGU S, 2023, INT J INNOV STUD</t>
  </si>
  <si>
    <t>&lt;a href="https://doi.org/10.3390/su16135291" target="_blank"&gt;10.3390/su16135291&lt;/a&gt;</t>
  </si>
  <si>
    <t>TEKALA K;BARADARANI S;ALZUBI A;BERBEROGLU A</t>
  </si>
  <si>
    <t>GREEN ENTREPRENEURSHIP FOR BUSINESS SUSTAINABILITY: DO ENVIRONMENTAL DYNAMISM AND GREEN STRUCTURAL CAPITAL MATTER?</t>
  </si>
  <si>
    <t>TEKALA K, 2024, SUSTAINABILITY-BASEL</t>
  </si>
  <si>
    <t>&lt;a href="https://doi.org/10.1080/23311975.2022.2152648" target="_blank"&gt;10.1080/23311975.2022.2152648&lt;/a&gt;</t>
  </si>
  <si>
    <t>GABER H;HASSAN L</t>
  </si>
  <si>
    <t>USING MOBILE HEALTH APPS DURING THE COVID-19 PANDEMIC IN A DEVELOPING COUNTRY FOR BUSINESS SUSTAINABILITY</t>
  </si>
  <si>
    <t>GABER H, 2022, COGENT BUS MANAG</t>
  </si>
  <si>
    <t>&lt;a href="https://doi.org/10.15240/tul/001/2021-2-003" target="_blank"&gt;10.15240/tul/001/2021-2-003&lt;/a&gt;</t>
  </si>
  <si>
    <t>GROSS-GOLACKA E;KUSTERKA-JEFMANSKA M;SPALEK P;JEFMANSKI B</t>
  </si>
  <si>
    <t>PERCEPTION OF INTELLECTUAL CAPITAL AND ITS IMPACT ON BUSINESS SUSTAINABILITY: EVIDENCE FROM SMALL, MEDIUM, AND LARGE ENTERPRISES</t>
  </si>
  <si>
    <t>GROSS-GOLACKA E, 2021, E M EKON MANAG</t>
  </si>
  <si>
    <t>&lt;a href="https://doi.org/10.1016/j.ajsl.2023.12.001" target="_blank"&gt;10.1016/j.ajsl.2023.12.001&lt;/a&gt;</t>
  </si>
  <si>
    <t>UTAMA D;HAMSAL M;RAHIM R;FURINTO A</t>
  </si>
  <si>
    <t>THE EFFECT OF DIGITAL ADOPTION AND SERVICE QUALITY ON BUSINESS SUSTAINABILITY THROUGH STRATEGIC ALLIANCES AT PORT TERMINALS IN INDONESIA</t>
  </si>
  <si>
    <t>UTAMA D, 2024, ASIAN J SHIPPING LOG</t>
  </si>
  <si>
    <t>&lt;a href="https://doi.org/10.2478/eoik-2023-0052" target="_blank"&gt;10.2478/eoik-2023-0052&lt;/a&gt;</t>
  </si>
  <si>
    <t>IDRIS A;HANAFI M;RAHMAWATI A;SURWANTI A</t>
  </si>
  <si>
    <t>IMPACT OF INTELLECTUAL CAPITAL AND RISK ATTITUDE THROUGH FINANCIAL LITERACY ON BUSINESS SUSTAINABILITY IN INDONESIA BATIK SMES</t>
  </si>
  <si>
    <t>IDRIS A, 2023, ECON INNOVATE ECON RES J</t>
  </si>
  <si>
    <t>&lt;a href="https://doi.org/10.55908/sdgs.v11i4.520" target="_blank"&gt;10.55908/sdgs.v11i4.520&lt;/a&gt;</t>
  </si>
  <si>
    <t>NURJANNAH D;WARDHANA E;HANDAYATI P;WINARNO A;JIHADI M</t>
  </si>
  <si>
    <t>THE INFLUENCE OF MANAGERIAL CAPABILITIES, FINANCIAL LITERACY, AND RISK MITIGATION ON MSMES BUSINESS SUSTAINABILITY [A INFLUÊNCIA DAS CAPACIDADES GERENCIAIS, DA ALFABETIZAÇÃO FINANCEIRA E DA REDUÇÃO DE RISCOS NA SUSTENTABILIDADE DOS NEGÓCIOS DAS MPMES]</t>
  </si>
  <si>
    <t>NURJANNAH D, 2023, J LAW SUSTAIN DEV</t>
  </si>
  <si>
    <t>&lt;a href="https://doi.org/10.4067/S0718-07642019000400103" target="_blank"&gt;10.4067/S0718-07642019000400103&lt;/a&gt;</t>
  </si>
  <si>
    <t>METHODOLOGY FOR THE MODELING OF SOME ASPECTS ASSOCIATED WITH BUSINESS SUSTAINABILITY AND ITS APPLICATION IN A MANUFACTURING COMPANY [METODOLOGÍA PARA EL MODELADO DE ALGUNOS ASPECTOS ASOCIADOS A LA SOSTENIBILIDAD EMPRESARIAL Y SU APLICACIÓN EN UNA EMPRESA MANUFACTURERA]</t>
  </si>
  <si>
    <t>VALENCIA-RODRÍGUEZ O, 2019, INF TECNOL</t>
  </si>
  <si>
    <t>&lt;a href="https://doi.org/10.31577/ekoncas.2023.06-07.04" target="_blank"&gt;10.31577/ekoncas.2023.06-07.04&lt;/a&gt;</t>
  </si>
  <si>
    <t>STANKOVIC S;JOVANOVIC V;COGOLJEVIC M</t>
  </si>
  <si>
    <t>BUSINESS SUSTAINABILITY FACTORS OF MINING COMPANIES BASED ON SEM MODEL</t>
  </si>
  <si>
    <t>STANKOVIC S, 2023, EKON CAS</t>
  </si>
  <si>
    <t>&lt;a href="https://doi.org/10.37190/ord190406" target="_blank"&gt;10.37190/ord190406&lt;/a&gt;</t>
  </si>
  <si>
    <t>TWOREK K;WALECKA-JANKOWSKA K;ZGRZYWA-ZIEMAK A</t>
  </si>
  <si>
    <t>THE ROLE OF INFORMATION SYSTEMS IN SHAPING INTEGRATIVE LOGIC FOR BUSINESS SUSTAINABILITY</t>
  </si>
  <si>
    <t>TWOREK K, 2019, OPER RES DECIS</t>
  </si>
  <si>
    <t>&lt;a href="https://doi.org/10.1080/23322039.2024.2325834" target="_blank"&gt;10.1080/23322039.2024.2325834&lt;/a&gt;</t>
  </si>
  <si>
    <t>HARIYONO A;NARSA I</t>
  </si>
  <si>
    <t>THE VALUE OF INTELLECTUAL CAPITAL IN IMPROVING MSMES' COMPETITIVENESS, FINANCIAL PERFORMANCE, AND BUSINESS SUSTAINABILITY</t>
  </si>
  <si>
    <t>HARIYONO A, 2024, COGENT ECON FINANC</t>
  </si>
  <si>
    <t>&lt;a href="https://doi.org/10.1177/21582440231217870" target="_blank"&gt;10.1177/21582440231217870&lt;/a&gt;</t>
  </si>
  <si>
    <t>BERNAL-TORRES C;TORRES-GUEVARA L;ALDANA-BERNAL J;NICOLÁS-ROJAS Y;PANDO-EZCURRA T</t>
  </si>
  <si>
    <t>THE MODERATING ROLE OF INNOVATION IN THE RELATIONSHIP BETWEEN BUSINESS SUSTAINABILITY AND ORGANIZATIONAL PERFORMANCE IN COMPANIES OF AN EMERGING ECONOMY</t>
  </si>
  <si>
    <t>BERNAL-TORRES C, 2023, SAGE OPEN</t>
  </si>
  <si>
    <t>&lt;a href="https://doi.org/10.3390/su12176867" target="_blank"&gt;10.3390/su12176867&lt;/a&gt;</t>
  </si>
  <si>
    <t>BOSTAN I;CHERSAN I;DANILET M;IFRIM M;CHIRILA V</t>
  </si>
  <si>
    <t>INVESTIGATIONS REGARDING THE LINGUISTIC REGISTER USED BY MANAGERS TO CONVEY TO STAKEHOLDERS A POSITIVE VIEW OF THEIR COMPANY, IN THE CONTEXT OF THE BUSINESS SUSTAINABILITY DESIDERATUM</t>
  </si>
  <si>
    <t>BOSTAN I, 2020, SUSTAINABILITY-BASEL</t>
  </si>
  <si>
    <t>&lt;a href="https://doi.org/10.59953/paperasia.v40i2b.86" target="_blank"&gt;10.59953/paperasia.v40i2b.86&lt;/a&gt;</t>
  </si>
  <si>
    <t>GNOH H;KEOY K;IQBAL J;ANJUM S;YEO S;LIM A;LIM W;CHAW L</t>
  </si>
  <si>
    <t>ENHANCING BUSINESS SUSTAINABILITY THROUGH TECHNOLOGY-ENABLED AI: FORECASTING STUDENT DATA AND COMPARING PREDICTION MODELS FOR HIGHER EDUCATION INSTITUTIONS (HEIS)</t>
  </si>
  <si>
    <t>GNOH H, 2024, PAPER ASIA</t>
  </si>
  <si>
    <t>&lt;a href="https://doi.org/10.18488/73.v12i3.3841" target="_blank"&gt;10.18488/73.v12i3.3841&lt;/a&gt;</t>
  </si>
  <si>
    <t>AL-ZAQEBA M;ALSHEHADEH A;AL-KHAWAJA H;BASHETI I;LOOTAH R</t>
  </si>
  <si>
    <t>THE ROLE OF INHERITANCE RISK MANAGEMENT IN FAMILY ENTERPRISES TO ACHIEVE FAMILY BUSINESSES SUSTAINABILITY IN THE MIDDLE EAST</t>
  </si>
  <si>
    <t>AL-ZAQEBA M, 2024, HUMANITIES SOC SCI LETT</t>
  </si>
  <si>
    <t>&lt;a href="https://doi.org/10.1016/j.joitmc.2023.100153" target="_blank"&gt;10.1016/j.joitmc.2023.100153&lt;/a&gt;</t>
  </si>
  <si>
    <t>SIREGAR A;AFIFF A;HALIM R</t>
  </si>
  <si>
    <t>LINKING AGILE LEADERSHIP AND BUSINESS SUSTAINABILITY THROUGH THE MEDIATION OF POLITICAL AND SOCIAL CAPABILITIES</t>
  </si>
  <si>
    <t>SIREGAR A, 2023, J OPEN INNOV: TECHNOL MARK COMPLEX</t>
  </si>
  <si>
    <t>&lt;a href="https://doi.org/10.37934/araset.31.1.334354" target="_blank"&gt;10.37934/araset.31.1.334354&lt;/a&gt;</t>
  </si>
  <si>
    <t>HSBOLLAH H;HASSAN H;MOHAMAD R</t>
  </si>
  <si>
    <t>THE IMPACT OF SOLAR PHOTOVOLTAIC (PV) ADOPTION ON CORPORATE IMAGE AND BUSINESS SUSTAINABILITY IN MALAYSIAN SMALL AND MEDIUM ENTERPRISES (SMES)</t>
  </si>
  <si>
    <t>HSBOLLAH H, 2023, J ADV RES APPL SCI ENG TECHNOL</t>
  </si>
  <si>
    <t>&lt;a href="https://doi.org/10.55951/NURTURE.V17I4.500" target="_blank"&gt;10.55951/NURTURE.V17I4.500&lt;/a&gt;</t>
  </si>
  <si>
    <t>PUTRA A;MANSUR D;ULFAH M;NURMIATI N;HAJIALI I</t>
  </si>
  <si>
    <t>KEY FACTORS OF BUSINESS SUSTAINABILITY: STRENGTHENING LEADERSHIP, PSYCHOLOGY, AND FAIRNESS ASPECTS FROM AN ISLAMIC-MANAGEMENT PERSPECTIVE</t>
  </si>
  <si>
    <t>PUTRA A, 2023, NURTURE</t>
  </si>
  <si>
    <t>&lt;a href="https://doi.org/10.56294/SALUDCYT2023365" target="_blank"&gt;10.56294/SALUDCYT2023365&lt;/a&gt;</t>
  </si>
  <si>
    <t>ESPINOZA-GALLARDO R;LIOO-JORDAN F;BALDEOS-ARDIAN L;RAMOS Y Y S;AUSEJO-SÁNCHEZ J;OCROSPOMA-DUEÑAS R</t>
  </si>
  <si>
    <t>CIRCULAR ECONOMY: AN INNOVATIVE STRATEGY TO IMPROVE BUSINESS SUSTAINABILITY [ECONOMÍA CIRCULAR: UNA ESTRATEGIA INNOVADORA PARA MEJORAR LA SOSTENIBILIDAD EMPRESARIAL]</t>
  </si>
  <si>
    <t>ESPINOZA-GALLARDO R, 2023, SALUD CIENC TECNOL</t>
  </si>
  <si>
    <t>&lt;a href="https://doi.org/10.5267/j.uscm.2021.8.011" target="_blank"&gt;10.5267/j.uscm.2021.8.011&lt;/a&gt;</t>
  </si>
  <si>
    <t>WONGWILAI S;PHUDETCH P;SAELEK P;KHUPTAWATIN A;WONGCHAROENSIN K;CHAITONGRAT S;VAIYAVUTH R;JERMSITTIPARSERT K</t>
  </si>
  <si>
    <t>THE ROLE OF INNOVATIVE IDEAS IN BUSINESS SUSTAINABILITY: EVIDENCE FROM TEXTILE INDUSTRY</t>
  </si>
  <si>
    <t>WONGWILAI S, 2022, UNCERTAIN SUPPLY CHAIN MANAG</t>
  </si>
  <si>
    <t>&lt;a href="https://doi.org/10.18488/journal.11.2019.84.196.214" target="_blank"&gt;10.18488/journal.11.2019.84.196.214&lt;/a&gt;</t>
  </si>
  <si>
    <t>ASIM S;LI C;UR R M H</t>
  </si>
  <si>
    <t>ROLE OF TOP MANAGEMENT ADVOCACY IN SME’S BUSINESS SUSTAINABILITY: A MEDIATION THROUGH TECHNOLOGY OPPORTUNISM</t>
  </si>
  <si>
    <t>ASIM S, 2019, INT J MANAG SUSTAIN</t>
  </si>
  <si>
    <t>&lt;a href="https://doi.org/10.3390/su15075957" target="_blank"&gt;10.3390/su15075957&lt;/a&gt;</t>
  </si>
  <si>
    <t>ASMARA T;MURWADJI T;AFRIANA A</t>
  </si>
  <si>
    <t>CORPORATE SOCIAL RESPONSIBILITY AND COOPERATIVES BUSINESS SUSTAINABILITY IN INDONESIA: LEGAL PERSPECTIVE</t>
  </si>
  <si>
    <t>ASMARA T, 2023, SUSTAINABILITY-BASEL</t>
  </si>
  <si>
    <t>&lt;a href="https://doi.org/10.47750/QAS/24.192.27" target="_blank"&gt;10.47750/QAS/24.192.27&lt;/a&gt;</t>
  </si>
  <si>
    <t>WIAGUSTINI N;RAMANTHA I;PUTRA I</t>
  </si>
  <si>
    <t>FINANCIAL LITERACY AND FINANCIAL BEHAVIOR ENCOURAGING BUSINESS SUSTAINABILITY BY MEDIATION OF FINANCIAL PERFORMANCE</t>
  </si>
  <si>
    <t>WIAGUSTINI N, 2023, QUAL-ACCESS SUCCESS</t>
  </si>
  <si>
    <t>&lt;a href="https://doi.org/10.1002/bse.3289" target="_blank"&gt;10.1002/bse.3289&lt;/a&gt;</t>
  </si>
  <si>
    <t>HERMELINGMEIER V;AUGENSTEIN K;PALZKILL A</t>
  </si>
  <si>
    <t>THE ROLE OF PLACE IN SHAPING RESPONSIBILITY LOGICS: REVISITING THE RELATION BETWEEN PLACE AND BUSINESS SUSTAINABILITY</t>
  </si>
  <si>
    <t>HERMELINGMEIER V, 2023, BUS STRATEG ENVIRON</t>
  </si>
  <si>
    <t>&lt;a href="https://doi.org/10.47750/QAS/25.199.35" target="_blank"&gt;10.47750/QAS/25.199.35&lt;/a&gt;</t>
  </si>
  <si>
    <t>ABDULLAH S;AMPAULENG A</t>
  </si>
  <si>
    <t>THE MICRO-INFLUENCERS EFFECT ON THE BUSINESS SUSTAINABILITY OF SMALL MEDIUM ENTERPRISE: THE MARKETING STRATEGY APPROACH</t>
  </si>
  <si>
    <t>ABDULLAH S, 2024, QUAL-ACCESS SUCCESS</t>
  </si>
  <si>
    <t>&lt;a href="https://doi.org/10.17230/Ad-minister.41.2" target="_blank"&gt;10.17230/Ad-minister.41.2&lt;/a&gt;</t>
  </si>
  <si>
    <t>OGENDO J;ARIEMBA J</t>
  </si>
  <si>
    <t>MERGERS AND ACQUISITIONS FOR BUSINESS SUSTAINABILITY IN EMERGING MARKETS DURING A VAGUE ERA: A LITERATURE ANALYSIS</t>
  </si>
  <si>
    <t>OGENDO J, 2022, AD-MINIST</t>
  </si>
  <si>
    <t>&lt;a href="https://doi.org/10.1080/23322039.2019.1622172" target="_blank"&gt;10.1080/23322039.2019.1622172&lt;/a&gt;</t>
  </si>
  <si>
    <t>KAMATH V;BIJU S;KAMATH G</t>
  </si>
  <si>
    <t>A PARTICIPATORY SYSTEMS MAPPING (PSM) BASED APPROACH TOWARDS ANALYSIS OF BUSINESS SUSTAINABILITY OF RURAL INDIAN MILK DAIRIES</t>
  </si>
  <si>
    <t>KAMATH V, 2019, COGENT ECON FINANC</t>
  </si>
  <si>
    <t>&lt;a href="https://doi.org/10.21833/ijaas.2024.01.007" target="_blank"&gt;10.21833/ijaas.2024.01.007&lt;/a&gt;</t>
  </si>
  <si>
    <t>AL-TAANI A;AL-ZAQEBA M;MAABREH H;JARAH B</t>
  </si>
  <si>
    <t>EXPLORING THE IMPACT OF DIGITAL ACCOUNTING AND DIGITAL ZAKAT ON IMPROVING BUSINESS SUSTAINABILITY IN THE MIDDLE EAST AND MALAYSIA</t>
  </si>
  <si>
    <t>AL-TAANI A, 2024, INT J ADV APPL SCI</t>
  </si>
  <si>
    <t>&lt;a href="https://doi.org/10.24857/rgsa.v18n3-124" target="_blank"&gt;10.24857/rgsa.v18n3-124&lt;/a&gt;</t>
  </si>
  <si>
    <t>NYOMAN Y I;RATIH M I;TANDIO D</t>
  </si>
  <si>
    <t>INTELLECTUAL CAPITAL IN MANAGEMENT OF VILLAGE CREDIT INSTITUTIONS TOWARDS BUSINESS SUSTAINABILITY BASED CATUR PURUSA ARTHA [CAPITAL INTELECTUAL NA GESTÃO DE INSTITUIÇÕES DE CRÉDITO DA VILA PARA A SUSTENTABILIDADE DE NEGÓCIOS COM BASE CATUR PURUSA ARTHA] [CAPITAL INTELECTUAL EN GESTIÓN DE ENTIDADES DE CRÉDITO DE ALDEA HACIA LA SOSTENIBILIDAD EMPRESARIAL BASADA EN CATUR PURUSA ARTHA]</t>
  </si>
  <si>
    <t>NYOMAN Y I, 2024, REV GESTAO SOC AMBIENT</t>
  </si>
  <si>
    <t>&lt;a href="https://doi.org/10.35940/ijeat.F1110.0986S319" target="_blank"&gt;10.35940/ijeat.F1110.0986S319&lt;/a&gt;</t>
  </si>
  <si>
    <t>KAMAN Z;SALLEH S;ISHAK W</t>
  </si>
  <si>
    <t>RENEWABLE ENERGY (RE) AND THEORY ON BUSINESS SUSTAINABILITY: MALAYSIA POLICY DEVELOPMENT</t>
  </si>
  <si>
    <t>KAMAN Z, 2019, INT J ENG ADV TECHNOL</t>
  </si>
  <si>
    <t>&lt;a href="https://doi.org/10.14419/ijet.v7i4.35.23074" target="_blank"&gt;10.14419/ijet.v7i4.35.23074&lt;/a&gt;</t>
  </si>
  <si>
    <t>MOHAMAD M;CHIN O</t>
  </si>
  <si>
    <t>THE EFFECTS OF INTERNET USAGE ON BUSINESS SUSTAINABILITY OF SMALL TECHNOLOGY-BASED RURAL BUSINESS IN MALAYSIA</t>
  </si>
  <si>
    <t>MOHAMAD M, 2018, INT J ENG TECHNOL</t>
  </si>
  <si>
    <t>&lt;a href="https://doi.org/10.4102/jamba.v16i1.1714" target="_blank"&gt;10.4102/jamba.v16i1.1714&lt;/a&gt;</t>
  </si>
  <si>
    <t>SAKIJEGE T</t>
  </si>
  <si>
    <t>DISASTER RECOVERY AND BUSINESS CONTINUITY: A CASE OF MSMES IN DAR ES SALAAM</t>
  </si>
  <si>
    <t>SAKIJEGE T, 2024, JAMBA-J DISASTER RIS</t>
  </si>
  <si>
    <t>&lt;a href="https://doi.org/10.3390/su16187954" target="_blank"&gt;10.3390/su16187954&lt;/a&gt;</t>
  </si>
  <si>
    <t>FARROÑÁN E;CASTILLO J;GARCÍA F;LEÓN M;ACOSTA-ENRIQUEZ B;LLATAS F;MORALES V;MORALES A;ACOSTA R</t>
  </si>
  <si>
    <t>CRITICAL FACTORS FOR BUSINESS SUSTAINABILITY IN WOMEN-LED SOCIAL ENTERPRISES IN PERU</t>
  </si>
  <si>
    <t>FARROÑÁN E, 2024, SUSTAINABILITY-BASEL</t>
  </si>
  <si>
    <t>&lt;a href="https://doi.org/10.3389/frsc.2023.1091368" target="_blank"&gt;10.3389/frsc.2023.1091368&lt;/a&gt;</t>
  </si>
  <si>
    <t>RAHAYU W;HAPSARI N;WIBOWO A;QODRI L;RUSMANA D;NARMADITYA B</t>
  </si>
  <si>
    <t>INCULCATING ENTREPRENEURIAL VALUES IN CREATING BUSINESS SUSTAINABILITY THROUGH BUSINESS INDEPENDENCE IN BATIK CRAFTSMEN</t>
  </si>
  <si>
    <t>RAHAYU W, 2023, FRONT SUSTAIN CITIES</t>
  </si>
  <si>
    <t>&lt;a href="https://doi.org/10.1515/opag-2022-0216" target="_blank"&gt;10.1515/opag-2022-0216&lt;/a&gt;</t>
  </si>
  <si>
    <t>WIDANINGSIH N;HARTONO B;UTAMI H;ROHAENI E;GUNAWAN E</t>
  </si>
  <si>
    <t>INDICATORS OF SWAMP BUFFALO BUSINESS SUSTAINABILITY USING PARTIAL LEAST SQUARES STRUCTURAL EQUATION MODELLING</t>
  </si>
  <si>
    <t>WIDANINGSIH N, 2023, OPEN AGRIC</t>
  </si>
  <si>
    <t>&lt;a href="https://doi.org/10.20858/sjsutst.2024.124.10" target="_blank"&gt;10.20858/sjsutst.2024.124.10&lt;/a&gt;</t>
  </si>
  <si>
    <t>POBEREZHNA Z</t>
  </si>
  <si>
    <t>FORMATION OF BUSINESS SUSTAINABILITY OF THE TRANSPORT INDUSTRY IN THE CONTEXT OF INNOVATIVE TRANSFORMATIONS</t>
  </si>
  <si>
    <t>POBEREZHNA Z, 2024, SCI J SIL UNIV TECH</t>
  </si>
  <si>
    <t>&lt;a href="https://doi.org/10.1186/s43093-024-00333-5" target="_blank"&gt;10.1186/s43093-024-00333-5&lt;/a&gt;</t>
  </si>
  <si>
    <t>AL R R;ALFALIH A</t>
  </si>
  <si>
    <t>FAMILY BUSINESS SUSTAINABILITY: THE IMPACT OF GOVERNANCE AND WOMEN'S EMPOWERMENT IN SAUDI ARABIA</t>
  </si>
  <si>
    <t>AL R R, 2024, FUTUR BUS J</t>
  </si>
  <si>
    <t>&lt;a href="https://doi.org/10.15549/jeecar.v11i1.1383" target="_blank"&gt;10.15549/jeecar.v11i1.1383&lt;/a&gt;</t>
  </si>
  <si>
    <t>WIBOWO V;SO I;KUNCORO E;BANDUR A</t>
  </si>
  <si>
    <t>BUSINESS CONTINUITY OF CULINARY SMES: EMPIRICAL STUDY OF PERSONAL BRANDING, CORPORATE BRANDING, OPEN INNOVATION, AND COMPETITIVE ADVANTAGE</t>
  </si>
  <si>
    <t>WIBOWO V, 2024, J E EUR CENT ASIAN R</t>
  </si>
  <si>
    <t>&lt;a href="https://doi.org/10.1002/csr.2966" target="_blank"&gt;10.1002/csr.2966&lt;/a&gt;</t>
  </si>
  <si>
    <t>KUMAR R;SAUNILA M;RANTALA T;UKKO J</t>
  </si>
  <si>
    <t>THE INTERPLAY BETWEEN SMART TECHNOLOGIES, BUSINESS SUSTAINABILITY, AND ENVIRONMENTAL SUSTAINABILITY: AN EMPIRICAL ANALYSIS OF SMES</t>
  </si>
  <si>
    <t>KUMAR R, 2024, CORP SOC RESP ENV MA</t>
  </si>
  <si>
    <t>&lt;a href="https://doi.org/10.3934/GF.2024021" target="_blank"&gt;10.3934/GF.2024021&lt;/a&gt;</t>
  </si>
  <si>
    <t>MALDONADO-GUZMÁN G</t>
  </si>
  <si>
    <t>GREEN INNOVATION MEDIATES BETWEEN FINANCIAL INNOVATION AND BUSINESS SUSTAINABILITY? PROOF IN THE MEXICAN MANUFACTURING INDUSTRY</t>
  </si>
  <si>
    <t>MALDONADO-GUZMÁN G, 2024, GREEN FINANC</t>
  </si>
  <si>
    <t>&lt;a href="https://doi.org/10.1080/23311975.2024.2414857" target="_blank"&gt;10.1080/23311975.2024.2414857&lt;/a&gt;</t>
  </si>
  <si>
    <t>SISWANTI I;RIYADH H;CAHAYA Y;PUTRA Y;BESHR B</t>
  </si>
  <si>
    <t>UNVEILING THE DYNAMICS OF THE BUSINESS SUSTAINABILITY MODEL: A HOLISTIC ANALYSIS OF FINANCIAL AND DIGITAL TRANSFORMATION</t>
  </si>
  <si>
    <t>SISWANTI I, 2024, COGENT BUS MANAG</t>
  </si>
  <si>
    <t>&lt;a href="https://doi.org/10.1080/23311886.2023.2275443" target="_blank"&gt;10.1080/23311886.2023.2275443&lt;/a&gt;</t>
  </si>
  <si>
    <t>TAKAWIRA B;KANYANGALE M;MUTAMBARA E</t>
  </si>
  <si>
    <t>COMPETENCIES OF STRATEGIC LEADERSHIP TOWARDS BUSINESS SUSTAINABILITY IN EMERGING PHARMACEUTICAL BUSINESS OF SOUTH AFRICA: A CASE OF ALPHA DISTRIBUTION</t>
  </si>
  <si>
    <t>TAKAWIRA B, 2023, COGENT SOC SCI</t>
  </si>
  <si>
    <t>&lt;a href="https://doi.org/10.2478/fiqf-2024-0009" target="_blank"&gt;10.2478/fiqf-2024-0009&lt;/a&gt;</t>
  </si>
  <si>
    <t>ANDRII S;RUDA I;TKACHUK D;GALIKA V</t>
  </si>
  <si>
    <t>USING ADAPTIVE POTENTIAL TO COUNTERACT CRISIS SITUATIONS IN THE CONTEXT OF ENSURING FINANCIAL SECURITY AND BUSINESS SUSTAINABILITY OF ENTERPRISES</t>
  </si>
  <si>
    <t>ANDRII S, 2024, FINANC INTERNET Q</t>
  </si>
  <si>
    <t>&lt;a href="https://doi.org/10.33053/gedecon.v9i1.405" target="_blank"&gt;10.33053/gedecon.v9i1.405&lt;/a&gt;</t>
  </si>
  <si>
    <t>CONRAD C;COELHO J</t>
  </si>
  <si>
    <t>THE CONTRIBUTION OF INNOVATION IN THE SEARCH FOR BUSINESS SUSTAINABILITY: THE CASE OF TWO REFRIGERATORS IN THE NOROESTE RIO GRANDENSE MESOREGION</t>
  </si>
  <si>
    <t>CONRAD C, 2021, REV GEDECON REV GEST</t>
  </si>
  <si>
    <t>&lt;a href="https://doi.org/10.3926/ic.2456" target="_blank"&gt;10.3926/ic.2456&lt;/a&gt;</t>
  </si>
  <si>
    <t>HERLI M;TJAHJADI B;HAMIDAH H</t>
  </si>
  <si>
    <t>BUSINESS SUSTAINABILITY PRACTICES AND FINANCIAL PERFORMANCE IN THE CREATIVE ECONOMY SECTOR IN INDONESIA: MODERATING ROLE OF POWER DISTANCE AND LONG-TERM ORIENTATION</t>
  </si>
  <si>
    <t>HERLI M, 2024, INTANG CAP</t>
  </si>
  <si>
    <t>&lt;a href="https://doi.org/10.3846/btp.2024.19970" target="_blank"&gt;10.3846/btp.2024.19970&lt;/a&gt;</t>
  </si>
  <si>
    <t>KICOVÁ E;PONIŠČIAKOVÁ O;ROSNEROVÁ Z;FABUŠ J</t>
  </si>
  <si>
    <t>FINANCIAL LITERACY AS AN IMPORTANT ASPECT IN THE AREA OF BUSINESS SUSTAINABILITY: THE CASE OF SLOVAK REPUBLIC</t>
  </si>
  <si>
    <t>KICOVÁ E, 2024, BUS THEORY PRACT</t>
  </si>
  <si>
    <t>&lt;a href="https://doi.org/10.18488/11.v13i3.3837" target="_blank"&gt;10.18488/11.v13i3.3837&lt;/a&gt;</t>
  </si>
  <si>
    <t>ADAM A;ABDULLAH W;MARUHUN E;ANWAR I;SALIN A</t>
  </si>
  <si>
    <t>DETERMINANTS OF BUSINESS SUSTAINABILITY OF WOMEN ENTREPRENEURS</t>
  </si>
  <si>
    <t>ADAM A, 2024, INT J MANAG SUSTAIN</t>
  </si>
  <si>
    <t>&lt;a href="https://doi.org/10.18488/73.v12i3.3882" target="_blank"&gt;10.18488/73.v12i3.3882&lt;/a&gt;</t>
  </si>
  <si>
    <t>AREMU F;OGUNNAIKE O;ONAYEMI O;AIKOMO O;OLANREWAJU K;GBEREVBIE M</t>
  </si>
  <si>
    <t>CUSTOMER EXPERIENCE MANAGEMENT: A STUDY OF HUMANIC VERSUS MECHANIC CLUES AND BUSINESS SUSTAINABILITY OF SELECTED NIGERIA LOCAL FASHION BRANDS</t>
  </si>
  <si>
    <t>AREMU F, 2024, HUMANITIES SOC SCI LETT</t>
  </si>
  <si>
    <t>&lt;a href="https://doi.org/10.55214/25768484.v8i4.1160" target="_blank"&gt;10.55214/25768484.v8i4.1160&lt;/a&gt;</t>
  </si>
  <si>
    <t>KARTONO K;JOHARI R;ROSNIDAH I;HAMDANI E</t>
  </si>
  <si>
    <t>ENHANCING FIRM PERFORMANCE THROUGH CORPORATE STRATEGY AND RELIGIOUS OBSERVANCE: IMPLICATIONS FOR BUSINESS SUSTAINABILITY</t>
  </si>
  <si>
    <t>KARTONO K, 2024, EDELWEISS APPL SCI TECHNOL</t>
  </si>
  <si>
    <t>&lt;a href="https://doi.org/10.1088/1755-1315/1264/1/012001" target="_blank"&gt;10.1088/1755-1315/1264/1/012001&lt;/a&gt;</t>
  </si>
  <si>
    <t>LEHAN N;KAMARUDIN K</t>
  </si>
  <si>
    <t>GEOSPATIAL APPROACH FOR MSMES BUSINESS CONTINUITY PLAN IN POST PANDEMIC ERA IN MALAYSIA</t>
  </si>
  <si>
    <t>LEHAN N, 2023, IOP CONF SER EARTH ENVIRON SCI</t>
  </si>
  <si>
    <t>&lt;a href="https://doi.org/10.1080/23311932.2018.1550907" target="_blank"&gt;10.1080/23311932.2018.1550907&lt;/a&gt;</t>
  </si>
  <si>
    <t>CULHANE M;CARDONA C;GOLDSMITH T;CHARLES K;SUSKOVIC G;THOMPSON B;STARKEY M</t>
  </si>
  <si>
    <t>BUILDING AN ALL-HAZARDS AGRICULTURAL EMERGENCY RESPONSE SYSTEM TO MAINTAIN BUSINESS CONTINUITY AND PROMOTE THE SUSTAINABLE SUPPLY OF FOOD AND AGRICULTURAL PRODUCTS</t>
  </si>
  <si>
    <t>CULHANE M, 2018, COGENT FOOD AGRI</t>
  </si>
  <si>
    <t>&lt;a href="https://doi.org/10.1016/j.bbmt.2012.08.006" target="_blank"&gt;10.1016/j.bbmt.2012.08.006&lt;/a&gt;</t>
  </si>
  <si>
    <t>PINGEL J;CASE C;AMER B;HORNUNG R;SCHMIDT A</t>
  </si>
  <si>
    <t>WORLD MARROW DONOR ASSOCIATION CRISIS RESPONSE, BUSINESS CONTINUITY, AND DISASTER RECOVERY GUIDELINES</t>
  </si>
  <si>
    <t>PINGEL J, 2012, BIOL BLOOD MARROW TR</t>
  </si>
  <si>
    <t>&lt;a href="https://doi.org/10.3390/info14020122" target="_blank"&gt;10.3390/info14020122&lt;/a&gt;</t>
  </si>
  <si>
    <t>BRÁS J;PEREIRA R;MORO S</t>
  </si>
  <si>
    <t>INTELLIGENT PROCESS AUTOMATION AND BUSINESS CONTINUITY: AREAS FOR FUTURE RESEARCH</t>
  </si>
  <si>
    <t>BRÁS J, 2023, INFORMATION</t>
  </si>
  <si>
    <t>&lt;a href="https://doi.org/10.3390/su141711036" target="_blank"&gt;10.3390/su141711036&lt;/a&gt;</t>
  </si>
  <si>
    <t>ACOSTA-VELÁSQUEZ R;LEÓN-PULIDO J;GARCÍA-PÉREZ A;FAJARDO-MORENO W;ESPINOSA-LEAL L</t>
  </si>
  <si>
    <t>CONTEMPORARY MANAGEMENT PRACTICE APPLYING THE DYNAMIC ABSORPTIVE CAPACITY MEASUREMENT MODEL (PM&lt;SUP&gt;4&lt;/SUP&gt;AC) FOR IMPROVED BUSINESS SUSTAINABILITY</t>
  </si>
  <si>
    <t>ACOSTA-VELÁSQUEZ R, 2022, SUSTAINABILITY-BASEL</t>
  </si>
  <si>
    <t>&lt;a href="https://doi.org/10.3926/jiem.5283" target="_blank"&gt;10.3926/jiem.5283&lt;/a&gt;</t>
  </si>
  <si>
    <t>MUAFI ;SUGARINDRA M</t>
  </si>
  <si>
    <t>GREEN LOGISTIC AND ABSORPTIVE CAPACITY ON BUSINESS SUSTAINABILITY: THE MEDIATING ROLE OF CIRCULAR ECONOMY IMPLEMENTATION</t>
  </si>
  <si>
    <t>MUAFI , 2023, J IND ENG MANAG-JIEM</t>
  </si>
  <si>
    <t>&lt;a href="https://doi.org/10.1109/ACCESS.2023.3337159" target="_blank"&gt;10.1109/ACCESS.2023.3337159&lt;/a&gt;</t>
  </si>
  <si>
    <t>BRÁS J;PEREIRA R;MORO S;BIANCHI I;RIBEIRO R</t>
  </si>
  <si>
    <t>UNDERSTANDING HOW INTELLIGENT PROCESS AUTOMATION IMPACTS BUSINESS CONTINUITY: MAPPING IEEE/2755:2020 AND ISO/22301:2019</t>
  </si>
  <si>
    <t>BRÁS J, 2023, IEEE ACCESS</t>
  </si>
  <si>
    <t>&lt;a href="https://doi.org/10.1016/j.joitmc.2024.100304" target="_blank"&gt;10.1016/j.joitmc.2024.100304&lt;/a&gt;</t>
  </si>
  <si>
    <t>BRÁS J;PEREIRA R;FONSECA M;RIBEIRO R;BIANCHI I</t>
  </si>
  <si>
    <t>ADVANCES IN AUDITING AND BUSINESS CONTINUITY: A STUDY IN FINANCIAL COMPANIES</t>
  </si>
  <si>
    <t>BRÁS J, 2024, J OPEN INNOV: TECHNOL MARK COMPLEX</t>
  </si>
  <si>
    <t>&lt;a href="https://doi.org/10.1177/1476127013520265" target="_blank"&gt;10.1177/1476127013520265&lt;/a&gt;</t>
  </si>
  <si>
    <t>BANSAL P;DESJARDINE M</t>
  </si>
  <si>
    <t>BUSINESS SUSTAINABILITY: IT IS ABOUT TIME</t>
  </si>
  <si>
    <t>BANSAL P, 2014, STRATEG ORGAN</t>
  </si>
  <si>
    <t>&lt;a href="https://doi.org/10.3390/su10020452" target="_blank"&gt;10.3390/su10020452&lt;/a&gt;</t>
  </si>
  <si>
    <t>TUR-PORCAR A;ROIG-TIERNO N;MESTRE A</t>
  </si>
  <si>
    <t>FACTORS AFFECTING ENTREPRENEURSHIP AND BUSINESS SUSTAINABILITY</t>
  </si>
  <si>
    <t>TUR-PORCAR A, 2018, SUSTAINABILITY-BASEL</t>
  </si>
  <si>
    <t>&lt;a href="https://doi.org/10.3390/su10010275" target="_blank"&gt;10.3390/su10010275&lt;/a&gt;</t>
  </si>
  <si>
    <t>SUPPLY CHAIN MANAGEMENT AND BUSINESS SUSTAINABILITY SYNERGY: A THEORETICAL AND INTEGRATED PERSPECTIVE</t>
  </si>
  <si>
    <t>REZAEE Z, 2018, SUSTAINABILITY-BASEL</t>
  </si>
  <si>
    <t>&lt;a href="https://doi.org/10.3390/su10010246" target="_blank"&gt;10.3390/su10010246&lt;/a&gt;</t>
  </si>
  <si>
    <t>OUDAH M;JABEEN F;DIXON C</t>
  </si>
  <si>
    <t>DETERMINANTS LINKED TO FAMILY BUSINESS SUSTAINABILITY IN THE UAE: AN AHP APPROACH</t>
  </si>
  <si>
    <t>OUDAH M, 2018, SUSTAINABILITY-BASEL</t>
  </si>
  <si>
    <t>&lt;a href="https://doi.org/10.1080/00076791.2014.993613" target="_blank"&gt;10.1080/00076791.2014.993613&lt;/a&gt;</t>
  </si>
  <si>
    <t>NAPOLITANO M;MARINO V;OJALA J</t>
  </si>
  <si>
    <t>IN SEARCH OF AN INTEGRATED FRAMEWORK OF BUSINESS LONGEVITY</t>
  </si>
  <si>
    <t>NAPOLITANO M, 2015, BUS HIST</t>
  </si>
  <si>
    <t>&lt;a href="https://doi.org/10.3390/su14095362" target="_blank"&gt;10.3390/su14095362&lt;/a&gt;</t>
  </si>
  <si>
    <t>LUTFI A;AL-KHASAWNEH A;ALMAIAH M;ALSYOUF A;ALRAWAD M</t>
  </si>
  <si>
    <t>BUSINESS SUSTAINABILITY OF SMALL AND MEDIUM ENTERPRISES DURING THE COVID-19 PANDEMIC: THE ROLE OF AIS IMPLEMENTATION</t>
  </si>
  <si>
    <t>LUTFI A, 2022, SUSTAINABILITY-BASEL</t>
  </si>
  <si>
    <t>&lt;a href="https://doi.org/10.1108/APJIE-07-2019-0059" target="_blank"&gt;10.1108/APJIE-07-2019-0059&lt;/a&gt;</t>
  </si>
  <si>
    <t>OROBIA L;TUSIIME I;MWESIGWA R;SSEKIZIYIVU B</t>
  </si>
  <si>
    <t>ENTREPRENEURIAL FRAMEWORK CONDITIONS AND BUSINESS SUSTAINABILITY AMONG THE YOUTH AND WOMEN ENTREPRENEURS</t>
  </si>
  <si>
    <t>OROBIA L, 2020, ASIA PAC J INNOV ENT</t>
  </si>
  <si>
    <t>&lt;a href="https://doi.org/10.3390/su12103998" target="_blank"&gt;10.3390/su12103998&lt;/a&gt;</t>
  </si>
  <si>
    <t>JANG H;LEE S</t>
  </si>
  <si>
    <t>SERVING ROBOTS: MANAGEMENT AND APPLICATIONS FOR RESTAURANT BUSINESS SUSTAINABILITY</t>
  </si>
  <si>
    <t>JANG H, 2020, SUSTAINABILITY-BASEL</t>
  </si>
  <si>
    <t>&lt;a href="https://doi.org/10.1108/JBIM-05-2014-0094" target="_blank"&gt;10.1108/JBIM-05-2014-0094&lt;/a&gt;</t>
  </si>
  <si>
    <t>SVENSSON G;HOGEVOLD N;PETZER D;PADIN C;FERRO C;KLOPPER H;VARELA J;WAGNER B</t>
  </si>
  <si>
    <t>FRAMING STAKEHOLDER CONSIDERATIONS AND BUSINESS SUSTAINABILITY EFFORTS: A CONSTRUCT, ITS DIMENSIONS AND ITEMS</t>
  </si>
  <si>
    <t>SVENSSON G, 2016, J BUS IND MARK</t>
  </si>
  <si>
    <t>&lt;a href="https://doi.org/10.3390/su10072318" target="_blank"&gt;10.3390/su10072318&lt;/a&gt;</t>
  </si>
  <si>
    <t>LEE Y;HU J</t>
  </si>
  <si>
    <t>INTEGRATED APPROACHES FOR BUSINESS SUSTAINABILITY: THE PERSPECTIVE OF CORPORATE SOCIAL RESPONSIBILITY</t>
  </si>
  <si>
    <t>LEE Y, 2018, SUSTAINABILITY-BASEL</t>
  </si>
  <si>
    <t>&lt;a href="https://doi.org/10.1016/j.jclepro.2023.136667" target="_blank"&gt;10.1016/j.jclepro.2023.136667&lt;/a&gt;</t>
  </si>
  <si>
    <t>SOHNS T;AYSOLMAZ B;FIGGE L;JOSHI A</t>
  </si>
  <si>
    <t>GREEN BUSINESS PROCESS MANAGEMENT FOR BUSINESS SUSTAINABILITY: A CASE STUDY OF MANUFACTURING SMALL AND MEDIUM-SIZED ENTERPRISES (SMES) FROM GERMANY</t>
  </si>
  <si>
    <t>SOHNS T, 2023, J CLEAN PROD</t>
  </si>
  <si>
    <t>&lt;a href="https://doi.org/10.24818/EA/2020/55/692" target="_blank"&gt;10.24818/EA/2020/55/692&lt;/a&gt;</t>
  </si>
  <si>
    <t>NITESCU D;CRISTEA M</t>
  </si>
  <si>
    <t>ENVIRONMENTAL, SOCIAL AND GOVERNANCE RISKS - NEW CHALLENGES FOR THE BANKING BUSINESS SUSTAINABILITY</t>
  </si>
  <si>
    <t>NITESCU D, 2020, AMFITEATRU ECON</t>
  </si>
  <si>
    <t>&lt;a href="https://doi.org/10.1108/02635570910926609" target="_blank"&gt;10.1108/02635570910926609&lt;/a&gt;</t>
  </si>
  <si>
    <t>BAJGORIC N;MOON Y</t>
  </si>
  <si>
    <t>ENHANCING SYSTEMS INTEGRATION BY INCORPORATING BUSINESS CONTINUITY DRIVERS</t>
  </si>
  <si>
    <t>BAJGORIC N, 2009, IND MANAGE DATA SYS</t>
  </si>
  <si>
    <t>&lt;a href="https://doi.org/10.3390/su12229780" target="_blank"&gt;10.3390/su12229780&lt;/a&gt;</t>
  </si>
  <si>
    <t>PASTIU C;ONCIOIU I;GÂRDAN D;MAICAN S;GÂRDAN I;MUNTEAN A</t>
  </si>
  <si>
    <t>THE PERSPECTIVE OF E-BUSINESS SUSTAINABILITY AND WEBSITE ACCESSIBILITY OF ONLINE STORES</t>
  </si>
  <si>
    <t>PASTIU C, 2020, SUSTAINABILITY-BASEL</t>
  </si>
  <si>
    <t>&lt;a href="https://doi.org/10.30892/gtg.38414-748" target="_blank"&gt;10.30892/gtg.38414-748&lt;/a&gt;</t>
  </si>
  <si>
    <t>JAWABREH O;ABDELRAZAQ H;JAHMANI A</t>
  </si>
  <si>
    <t>BUSINESS SUSTAINABILITY PRACTICE AND OPERATIONAL MANAGEMENT INHOTEL INDUSTRY IN AQABA SPECIAL AUTHORITY ECONOMIC ZONE AUTHORITY (ASEZA)</t>
  </si>
  <si>
    <t>JAWABREH O, 2021, GEOJOURNAL TOUR GEOSITES</t>
  </si>
  <si>
    <t>&lt;a href="https://doi.org/10.3390/su71115718" target="_blank"&gt;10.3390/su71115718&lt;/a&gt;</t>
  </si>
  <si>
    <t>ABEL T;WHITE J;CLAUSON S</t>
  </si>
  <si>
    <t>RISKY BUSINESS: SUSTAINABILITY AND INDUSTRIAL LAND USE ACROSS SEATTLE'S GENTRIFYING RISKSCAPE</t>
  </si>
  <si>
    <t>ABEL T, 2015, SUSTAINABILITY-BASEL</t>
  </si>
  <si>
    <t>&lt;a href="https://doi.org/10.1016/j.procir.2021.01.147" target="_blank"&gt;10.1016/j.procir.2021.01.147&lt;/a&gt;</t>
  </si>
  <si>
    <t>MUNDRA N;MISHRA R</t>
  </si>
  <si>
    <t>BUSINESS SUSTAINABILITY IN POST COVID-19 ERA BY INTEGRATED LSS-AM MODEL IN MANUFACTURING: A STRUCTURAL EQUATION MODELING</t>
  </si>
  <si>
    <t>MUNDRA N, 2021, PROCEDIA CIRP</t>
  </si>
  <si>
    <t>&lt;a href="https://doi.org/10.1504/IJPM.2016.073385" target="_blank"&gt;10.1504/IJPM.2016.073385&lt;/a&gt;</t>
  </si>
  <si>
    <t>SVENSSON G;PADIN C;ERIKSSON D</t>
  </si>
  <si>
    <t>GLOCAL BUSINESS SUSTAINABILITY - PERFORMANCE BEYOND ZERO!</t>
  </si>
  <si>
    <t>SVENSSON G, 2016, INT J PROCURE MANAGE</t>
  </si>
  <si>
    <t>&lt;a href="https://doi.org/10.3390/su10040968" target="_blank"&gt;10.3390/su10040968&lt;/a&gt;</t>
  </si>
  <si>
    <t>MOYLE C;MOYLE B;RUHANEN L;BEC A;WEILER B</t>
  </si>
  <si>
    <t>BUSINESS SUSTAINABILITY: HOW DOES TOURISM COMPARE?</t>
  </si>
  <si>
    <t>MOYLE C, 2018, SUSTAINABILITY-BASEL</t>
  </si>
  <si>
    <t>&lt;a href="https://doi.org/10.5937/fmet1504362V" target="_blank"&gt;10.5937/fmet1504362V&lt;/a&gt;</t>
  </si>
  <si>
    <t>VICENTE S;ALVES A;CARVALHO M;COSTA N</t>
  </si>
  <si>
    <t>BUSINESS SUSTAINABILITY THROUGH EMPLOYEES INVOLVEMENT: A CASE STUDY</t>
  </si>
  <si>
    <t>VICENTE S, 2015, FME TRANS</t>
  </si>
  <si>
    <t>&lt;a href="https://doi.org/10.1108/03068291111171397" target="_blank"&gt;10.1108/03068291111171397&lt;/a&gt;</t>
  </si>
  <si>
    <t>ENVIRONMENTAL ETHICS FOR BUSINESS SUSTAINABILITY</t>
  </si>
  <si>
    <t>ZSOLNAI L, 2011, INT J SOC ECON</t>
  </si>
  <si>
    <t>&lt;a href="https://doi.org/10.1177/02734753211048538" target="_blank"&gt;10.1177/02734753211048538&lt;/a&gt;</t>
  </si>
  <si>
    <t>USING MACROMARKETING TO TEACH BUSINESS SUSTAINABILITY</t>
  </si>
  <si>
    <t>PETERSON M, 2022, J MARKET EDUC</t>
  </si>
  <si>
    <t>&lt;a href="https://doi.org/10.17221/321/2022-AGRICECON" target="_blank"&gt;10.17221/321/2022-AGRICECON&lt;/a&gt;</t>
  </si>
  <si>
    <t>VRABCOVA P;URBANCOVA H</t>
  </si>
  <si>
    <t>SUSTAINABLE INNOVATION IN AGRICULTURE: BUILDING A STRATEGIC MANAGEMENT SYSTEM TO ENSURE COMPETITIVENESS AND BUSINESS SUSTAINABILITY</t>
  </si>
  <si>
    <t>VRABCOVA P, 2023, AGR ECON-CZECH</t>
  </si>
  <si>
    <t>&lt;a href="https://doi.org/10.24857/rgsa.v16n2-013" target="_blank"&gt;10.24857/rgsa.v16n2-013&lt;/a&gt;</t>
  </si>
  <si>
    <t>DO N D E;DA S D;LAGIOIA U;SANTOS M</t>
  </si>
  <si>
    <t>SUSTAINABLE CULTURE RINGS WITH GOOD PERFORMANCE? A STUDY OF COMPANIES LISTED IN THE BUSINESS SUSTAINABILITY INDEX (ISE) [CULTURA SUSTENTÁVEL RIMA COM BOM DESEMPENHO? UM ESTUDO DAS EMPRESAS LISTADAS NO ÍNDICE DE SUSTENTABILIDADE EMPRESARIAL (ISE)]</t>
  </si>
  <si>
    <t>DO N D E, 2022, REV GESTAO SOC AMBIENT</t>
  </si>
  <si>
    <t>&lt;a href="https://doi.org/10.24818/EA/2019/S13/795" target="_blank"&gt;10.24818/EA/2019/S13/795&lt;/a&gt;</t>
  </si>
  <si>
    <t>NITESCU D;MURGU V;CAPRITA E</t>
  </si>
  <si>
    <t>IMPACT OF LABOR, FDI AND R&amp;D ON BUSINESS SUSTAINABILITY</t>
  </si>
  <si>
    <t>NITESCU D, 2019, AMFITEATRU ECON</t>
  </si>
  <si>
    <t>&lt;a href="https://doi.org/10.18045/zbefri.2018.1.155" target="_blank"&gt;10.18045/zbefri.2018.1.155&lt;/a&gt;</t>
  </si>
  <si>
    <t>TESTING SUSTAINABLE VALUE ADDED AS AN INTEGRATIVE MEASURE OF BUSINESS SUSTAINABILITY</t>
  </si>
  <si>
    <t>MILJENOVIC D, 2018, ZB RAD EKON FAK RIJE</t>
  </si>
  <si>
    <t>&lt;a href="https://doi.org/10.3926/jiem.3610" target="_blank"&gt;10.3926/jiem.3610&lt;/a&gt;</t>
  </si>
  <si>
    <t>BERNAL C;PAIPA L;NEZHAD Y;AGUDELO L;MILLÁN J</t>
  </si>
  <si>
    <t>CONTINUOUS IMPROVEMENT AND BUSINESS SUSTAINABILITY IN COMPANIES OF AN EMERGING MARKET: EMPIRICAL ANALYSIS</t>
  </si>
  <si>
    <t>BERNAL C, 2021, J IND ENG MANAG-JIEM</t>
  </si>
  <si>
    <t>&lt;a href="https://doi.org/10.30534/ijeter/2020/0481.12020" target="_blank"&gt;10.30534/ijeter/2020/0481.12020&lt;/a&gt;</t>
  </si>
  <si>
    <t>FONG P S;SARIP S;ABDFATAH A;KAIDI H</t>
  </si>
  <si>
    <t>BUSINESS SUSTAINABILITY THROUGH TECHNOLOGY MANAGEMENT APPROACH FOR CONSTRUCTION COMPANY</t>
  </si>
  <si>
    <t>FONG P S, 2020, INT J EMERG TRENDS ENG RES</t>
  </si>
  <si>
    <t>&lt;a href="https://doi.org/10.3390/su132111627" target="_blank"&gt;10.3390/su132111627&lt;/a&gt;</t>
  </si>
  <si>
    <t>WOMEN ENTREPRENEURS' ADOPTION OF MOBILE APPLICATIONS FOR BUSINESS SUSTAINABILITY</t>
  </si>
  <si>
    <t>ABED S, 2021, SUSTAINABILITY-BASEL</t>
  </si>
  <si>
    <t>&lt;a href="https://doi.org/10.3390/su151612196" target="_blank"&gt;10.3390/su151612196&lt;/a&gt;</t>
  </si>
  <si>
    <t>VRONTIS D;CHAUDHURI R;CHATTERJEE S</t>
  </si>
  <si>
    <t>ROLE OF CHATGPT AND SKILLED WORKERS FOR BUSINESS SUSTAINABILITY: LEADERSHIP MOTIVATION AS THE MODERATOR</t>
  </si>
  <si>
    <t>VRONTIS D, 2023, SUSTAINABILITY-BASEL</t>
  </si>
  <si>
    <t>&lt;a href="https://doi.org/10.1016/j.jfbs.2022.100505" target="_blank"&gt;10.1016/j.jfbs.2022.100505&lt;/a&gt;</t>
  </si>
  <si>
    <t>CRUZ A;HAMILTON E;CAMPOPIANO G;JACK S</t>
  </si>
  <si>
    <t>WOMEN'S ENTREPRENEURIAL STEWARDSHIP: THE CONTRIBUTION OF WOMEN TO FAMILY BUSINESS CONTINUITY IN RURAL AREAS OF HONDURAS</t>
  </si>
  <si>
    <t>CRUZ A, 2024, J FAM BUS STRATEG</t>
  </si>
  <si>
    <t>&lt;a href="https://doi.org/10.1002/bse.3560" target="_blank"&gt;10.1002/bse.3560&lt;/a&gt;</t>
  </si>
  <si>
    <t>KORPHAIBOOL V;CHINDASOMBATCHAROEN P;CHATJUTHAMARD P;JIRAPORN P;TREEPONGKARUNA S</t>
  </si>
  <si>
    <t>BUSINESS SUSTAINABILITY UNDER THE INFLUENCE OF FEMALE DIRECTORS TOWARD THE RISK-TAKING IN INNOVATION: EVIDENCE FROM TEXTUAL ANALYSIS</t>
  </si>
  <si>
    <t>KORPHAIBOOL V, 2024, BUS STRATEG ENVIRON</t>
  </si>
  <si>
    <t>&lt;a href="https://doi.org/10.1016/j.jclepro.2023.139016" target="_blank"&gt;10.1016/j.jclepro.2023.139016&lt;/a&gt;</t>
  </si>
  <si>
    <t>GOMES S;PINHO M</t>
  </si>
  <si>
    <t>CAN WE COUNT ON THE COMMITMENT OF EUROPEAN SMES TO ACHIEVE SGD12? AN EXPLORATORY STUDY OF BUSINESS SUSTAINABILITY</t>
  </si>
  <si>
    <t>GOMES S, 2023, J CLEAN PROD</t>
  </si>
  <si>
    <t>&lt;a href="https://doi.org/10.1177/2379298119852313" target="_blank"&gt;10.1177/2379298119852313&lt;/a&gt;</t>
  </si>
  <si>
    <t>PETRUN S E;CRAIG C;GILBERTZ S;FENG S;KARAM R;BOHMAN A</t>
  </si>
  <si>
    <t>ADVANCING STEM-BASED BUSINESS SUSTAINABILITY: MENDING THE CURRICULAR GAP</t>
  </si>
  <si>
    <t>PETRUN S E, 2020, MANAG TEACH REV</t>
  </si>
  <si>
    <t>&lt;a href="https://doi.org/10.17705/1jais.00771" target="_blank"&gt;10.17705/1jais.00771&lt;/a&gt;</t>
  </si>
  <si>
    <t>JÄRVELÄINEN J;NIEMIMAA M;ZIMMER M</t>
  </si>
  <si>
    <t>DESIGNING A THRIFTY APPROACH FOR SME BUSINESS CONTINUITY: PRACTICES FOR TRANSPARENCY OF THE DESIGN PROCESS</t>
  </si>
  <si>
    <t>JÄRVELÄINEN J, 2022, J ASSOC INF SYST</t>
  </si>
  <si>
    <t>&lt;a href="https://doi.org/10.24874/IJQR13.04-10" target="_blank"&gt;10.24874/IJQR13.04-10&lt;/a&gt;</t>
  </si>
  <si>
    <t>SANTOS A;DA S N;CASTELA G</t>
  </si>
  <si>
    <t>A COSTATIS APPROACH TO BUSINESS SUSTAINABILITY IN TURBULENT ENVIRONMENTS FROM 2008 TO 2014</t>
  </si>
  <si>
    <t>SANTOS A, 2019, INT J QUAL RES</t>
  </si>
  <si>
    <t>&lt;a href="https://doi.org/10.1108/APJML-12-2020-0911" target="_blank"&gt;10.1108/APJML-12-2020-0911&lt;/a&gt;</t>
  </si>
  <si>
    <t>LEE T;LIN K;CHEN C;OTERO-NEIRA C;SVENSSON G</t>
  </si>
  <si>
    <t>A FRAMEWORK OF FIRMS' BUSINESS SUSTAINABILITY ENDEAVOURS WITH INTERNAL AND EXTERNAL STAKEHOLDERS THROUGH TIME ACROSS ORIENTAL AND OCCIDENTAL BUSINESS CONTEXTS</t>
  </si>
  <si>
    <t>LEE T, 2022, ASIA PAC J MARKET LO</t>
  </si>
  <si>
    <t>&lt;a href="https://doi.org/10.21511/ppm.19(3).2021.31" target="_blank"&gt;10.21511/ppm.19(3).2021.31&lt;/a&gt;</t>
  </si>
  <si>
    <t>PRIHANDONO D;WIJAYANTO A;CAHYANINGDYAH D</t>
  </si>
  <si>
    <t>FRANCHISE BUSINESS SUSTAINABILITY MODEL: ROLE OF CONFLICT RISK MANAGEMENT IN INDONESIAN FRANCHISE BUSINESSES</t>
  </si>
  <si>
    <t>PRIHANDONO D, 2021, PROBL PERSPECT MANAGE</t>
  </si>
  <si>
    <t>&lt;a href="https://doi.org/10.35808/ijeba/331" target="_blank"&gt;10.35808/ijeba/331&lt;/a&gt;</t>
  </si>
  <si>
    <t>STRATEGIC MANAGEMENT FOR REGIONAL ECONOMIC DEVELOPMENT AND BUSINESS SUSTAINABILITY: COUNTRIES IN TRANSITION</t>
  </si>
  <si>
    <t>KRASNIQI I, 2019, INT J ECON BUS ADM</t>
  </si>
  <si>
    <t>&lt;a href="https://doi.org/10.14254/2071-789X.2019/12-4/10" target="_blank"&gt;10.14254/2071-789X.2019/12-4/10&lt;/a&gt;</t>
  </si>
  <si>
    <t>RAHMATIAH ;WIROTO D;TAAN H</t>
  </si>
  <si>
    <t>BUSINESS CONTINUITY, MOTIVATION, AND SOCIAL CONDITIONS OF YOUNG ENTREPRENEURS</t>
  </si>
  <si>
    <t>RAHMATIAH , 2019, ECON SOCIOL</t>
  </si>
  <si>
    <t>&lt;a href="https://doi.org/10.1088/1755-1315/978/1/012037" target="_blank"&gt;10.1088/1755-1315/978/1/012037&lt;/a&gt;</t>
  </si>
  <si>
    <t>KHAERUNNISA K;NURMAYULIS N;SALAMPESSY Y</t>
  </si>
  <si>
    <t>ATTITUDE OF YOUNG FARMERS TO ON-FARM BUSINESS SUSTAINABILITY BASED ON THE BEHAVIOR AND SUCCESS OF SEEKING DIGITAL INFORMATION RELATED TO AGRICULTURE (CASE OF LEBAK REGENCY, BANTEN PROVINCE-INDONESIA)</t>
  </si>
  <si>
    <t>KHAERUNNISA K, 2022, IOP CONF SER EARTH ENVIRON SCI</t>
  </si>
  <si>
    <t>&lt;a href="https://doi.org/10.18280/ijsse.120115" target="_blank"&gt;10.18280/ijsse.120115&lt;/a&gt;</t>
  </si>
  <si>
    <t>PINTO D;FERNANDES A;DA S M;PEREIRA R</t>
  </si>
  <si>
    <t>MATURITY MODELS FOR BUSINESS CONTINUITY-A SYSTEMATIC LITERATURE REVIEW</t>
  </si>
  <si>
    <t>PINTO D, 2022, INT J SAFETY SECUR ENG</t>
  </si>
  <si>
    <t>&lt;a href="https://doi.org/10.24867/IJIEM-2019-1-057" target="_blank"&gt;10.24867/IJIEM-2019-1-057&lt;/a&gt;</t>
  </si>
  <si>
    <t>TWOREK K;BIEŃKOWSKA A;ZABŁOCKA-KLUCZKA A</t>
  </si>
  <si>
    <t>COEXISTENCE OF BUSINESS CONTINUITY MANAGEMENT AND CONTROLLING: CONTROLLING USE AS A MODERATOR OF RELATION BETWEEN BCM MATURITY AND ORGANIZATIONAL RESULTS [KOEGZISTENCIJA UPRAVLJANJA I KONTROLE KONTINUITETA POSLOVANJA: KONTROLA KORIŠĆENJA KAO MODERATOR ODNOSA IZMEDU UKP ZRELOSTI I REZULTATA ORGANIZACIJE]</t>
  </si>
  <si>
    <t>TWOREK K, 2019, INT J IND ENG MANAGE</t>
  </si>
  <si>
    <t>&lt;a href="https://doi.org/10.25100/cdea.v38i72.10835" target="_blank"&gt;10.25100/cdea.v38i72.10835&lt;/a&gt;</t>
  </si>
  <si>
    <t>BUSINESS SUSTAINABILITY AND FINANCIAL PERFORMANCE</t>
  </si>
  <si>
    <t>GARCÍA M, 2022, CUAD ADM-U VALLE</t>
  </si>
  <si>
    <t>&lt;a href="https://doi.org/10.4067/S1726-569X2013000200004" target="_blank"&gt;10.4067/S1726-569X2013000200004&lt;/a&gt;</t>
  </si>
  <si>
    <t>BUSINESS SUSTAINABILITY, ENERGY SAFETY AND ENVIRONMENTAL ETHICS IN CHILE</t>
  </si>
  <si>
    <t>SUÁREZ A, 2013, ACTA BIOETH</t>
  </si>
  <si>
    <t>&lt;a href="https://doi.org/10.20965/jdr.2022.p0913" target="_blank"&gt;10.20965/jdr.2022.p0913&lt;/a&gt;</t>
  </si>
  <si>
    <t>YUDHA A;TANG J;LEELAWAT N</t>
  </si>
  <si>
    <t>COVID-19 IMPACT ON TOURISM BUSINESS CONTINUITY IN INDONESIA: A PRELIMINARY SYSTEMATIC REVIEW</t>
  </si>
  <si>
    <t>YUDHA A, 2022, J DISASTER RES</t>
  </si>
  <si>
    <t>&lt;a href="https://doi.org/10.3390/su12208562" target="_blank"&gt;10.3390/su12208562&lt;/a&gt;</t>
  </si>
  <si>
    <t>TUGUI A;AGHEORGHIESEI D;ASANDULUI L</t>
  </si>
  <si>
    <t>AN INFORMAL ETHICS AUDITING IN AUTHORIZED VALUATION FOR BUSINESS SUSTAINABILITY IN ROMANIA</t>
  </si>
  <si>
    <t>TUGUI A, 2020, SUSTAINABILITY-BASEL</t>
  </si>
  <si>
    <t>&lt;a href="https://doi.org/10.3390/su151612231" target="_blank"&gt;10.3390/su151612231&lt;/a&gt;</t>
  </si>
  <si>
    <t>ALONSO-GARCÍA M;NIETO D;REVUELTA E</t>
  </si>
  <si>
    <t>HOW INNOVATION AFFECTS USERS' EMOTIONAL RESPONSES: IMPLICATIONS FOR PRODUCT SUCCESS AND BUSINESS SUSTAINABILITY</t>
  </si>
  <si>
    <t>ALONSO-GARCÍA M, 2023, SUSTAINABILITY-BASEL</t>
  </si>
  <si>
    <t>&lt;a href="https://doi.org/10.1002/bse.3767" target="_blank"&gt;10.1002/bse.3767&lt;/a&gt;</t>
  </si>
  <si>
    <t>BHADRA K;KAMALANABHAN T;SINGH S</t>
  </si>
  <si>
    <t>EVOLUTION OF DYNAMIC CAPABILITIES FOR BUSINESS SUSTAINABILITY PERFORMANCE: EVIDENCE FROM THE INDIAN MANUFACTURING SECTOR</t>
  </si>
  <si>
    <t>BHADRA K, 2024, BUS STRATEG ENVIRON</t>
  </si>
  <si>
    <t>&lt;a href="https://doi.org/10.1108/IJSHE-10-2018-0181" target="_blank"&gt;10.1108/IJSHE-10-2018-0181&lt;/a&gt;</t>
  </si>
  <si>
    <t>CAN SUSTAINABILITY AUDITS PROVIDE EFFECTIVE, HANDS-ON BUSINESS SUSTAINABILITY LEARNING, TEACHING AND ASSESSMENT FOR BUSINESS MANAGEMENT UNDERGRADUATES?</t>
  </si>
  <si>
    <t>EMBLEN-PERRY K, 2019, INT J SUST HIGHER ED</t>
  </si>
  <si>
    <t>&lt;a href="https://doi.org/10.18280/ijsdp.180534" target="_blank"&gt;10.18280/ijsdp.180534&lt;/a&gt;</t>
  </si>
  <si>
    <t>ALBHIRAT M;ZULKIFFLI S;SALLEH H;ZAKI N</t>
  </si>
  <si>
    <t>A STUDY ON STRATEGIC ENTREPRENEURSHIP ORIENTATIONS: INDICATORS, DIFFERENTIAL PATHWAYS, AND MULTIPLE BUSINESS SUSTAINABILITY OUTCOMES</t>
  </si>
  <si>
    <t>ALBHIRAT M, 2023, INT J SUSTAINABLE DEV PLANN</t>
  </si>
  <si>
    <t>&lt;a href="https://doi.org/10.3846/btp.2022.16657" target="_blank"&gt;10.3846/btp.2022.16657&lt;/a&gt;</t>
  </si>
  <si>
    <t>AKINTOYE I;AJAYI M;JOSHUA A;OKUNLOLA A</t>
  </si>
  <si>
    <t>BUSINESS SUSTAINABILITY THROUGH E-COMMERCE: A MYTH OR REALITY IN NIGERIA</t>
  </si>
  <si>
    <t>AKINTOYE I, 2022, BUS THEORY PRACT</t>
  </si>
  <si>
    <t>&lt;a href="https://doi.org/10.4067/s1726-569x2013000200004" target="_blank"&gt;10.4067/s1726-569x2013000200004&lt;/a&gt;</t>
  </si>
  <si>
    <t>BUSINESS SUSTAINABILITY, ENERGY SAFETY AND ENVIRONMENTAL ETHICS IN CHILE [SUSTENTABILIDAD EMPRESARIAL, SEGURIDAD ENERGÉTICA Y ÉTICA AMBIENTAL EN CHILE]</t>
  </si>
  <si>
    <t>SUÁREZ A, 2013, ACTA BIOETHICA</t>
  </si>
  <si>
    <t>&lt;a href="https://doi.org/10.47750/QAS/22.185.07" target="_blank"&gt;10.47750/QAS/22.185.07&lt;/a&gt;</t>
  </si>
  <si>
    <t>ABDELRAHMAN S;ISMAIL M;ABU-RUMMAN A;AL S A;KHALILI A;SOROOSHIAN S</t>
  </si>
  <si>
    <t>RELATIONSHIP BETWEEN BUSINESS SUSTAINABILITY AND MANAGEMENT INNOVATION</t>
  </si>
  <si>
    <t>ABDELRAHMAN S, 2021, QUAL-ACCESS SUCCESS</t>
  </si>
  <si>
    <t>&lt;a href="https://doi.org/10.1080/23311975.2023.2218193" target="_blank"&gt;10.1080/23311975.2023.2218193&lt;/a&gt;</t>
  </si>
  <si>
    <t>ENTREPRENEURIAL FINANCIAL LITERACY-SMALL BUSINESS SUSTAINABILITY NEXUS IN ETHIOPIA</t>
  </si>
  <si>
    <t>MERESSA H, 2023, COGENT BUS MANAG</t>
  </si>
  <si>
    <t>&lt;a href="https://doi.org/10.3390/su16104308" target="_blank"&gt;10.3390/su16104308&lt;/a&gt;</t>
  </si>
  <si>
    <t>MARKULIK S;SOLC M;BLASKO P</t>
  </si>
  <si>
    <t>USE OF RISK MANAGEMENT TO SUPPORT BUSINESS SUSTAINABILITY IN THE AUTOMOTIVE INDUSTRY</t>
  </si>
  <si>
    <t>MARKULIK S, 2024, SUSTAINABILITY-BASEL</t>
  </si>
  <si>
    <t>&lt;a href="https://doi.org/10.12776/QIP.V26I2.1703" target="_blank"&gt;10.12776/QIP.V26I2.1703&lt;/a&gt;</t>
  </si>
  <si>
    <t>MAJERNÍK M;STOFKOVÁ J;MALEGA P;BARILOVÁ B</t>
  </si>
  <si>
    <t>STANDARDISATION OF THE SOCIAL RESPONSIBILITY SYSTEM AS A TOOL FOR BUSINESS SUSTAINABILITY</t>
  </si>
  <si>
    <t>MAJERNÍK M, 2022, QUAL INNOV PROSPER</t>
  </si>
  <si>
    <t>&lt;a href="https://doi.org/10.14453/aabfj.v18i2.05" target="_blank"&gt;10.14453/aabfj.v18i2.05&lt;/a&gt;</t>
  </si>
  <si>
    <t>POST PANDEMIC BUSINESS SUSTAINABILITY PERFORMANCE ON INDONESIAN STOCK EXCHANGE LISTED COMPANIES</t>
  </si>
  <si>
    <t>MULYONO M, 2024, AUSTRALAS ACCOUNT BUS FINANCE J</t>
  </si>
  <si>
    <t>&lt;a href="https://doi.org/10.26668/businessreview/2023.v8i3.659" target="_blank"&gt;10.26668/businessreview/2023.v8i3.659&lt;/a&gt;</t>
  </si>
  <si>
    <t>RATNASARI E;SUSILOWATI I;MARIA N</t>
  </si>
  <si>
    <t>SMALL-SCALE VANNAMEI SHRIMP FARM BUSINESS SUSTAINABILITY ANALYSIS WITH MICMAC: A STUDY ON KEBUMEN COASTAL AREA, INDONESIA [ANÁLISE DA SUSTENTABILIDADE DO NEGÓCIO DA QUINTA DE CAMARÃO VANNAMEI EM PEQUENA ESCALA COM MICMAC: UM ESTUDO NA ÁREA COSTEIRA DE KEBUMEN] [ANÁLISIS DE SOSTENIBILIDAD EMPRESARIAL DE LA GRANJA CAMARONERA VANNAMEI A PEQUEÑA ESCALA CON MICMAC: UN ESTUDIO SOBRE EL ÁREA COSTERA DE KEBUMEN]</t>
  </si>
  <si>
    <t>RATNASARI E, 2023, INT J PROF BUS REV</t>
  </si>
  <si>
    <t>&lt;a href="https://doi.org/10.47750/QAS/22.185.30" target="_blank"&gt;10.47750/QAS/22.185.30&lt;/a&gt;</t>
  </si>
  <si>
    <t>MASLENNIKOV V;LYANDAU Y;POPOVA E;KALININA I;MROCHKOVSKIY N;UMNOVA M</t>
  </si>
  <si>
    <t>EVALUATION MODEL OF BUSINESS SUSTAINABILITY: ANALYSIS AND CONSOLIDATION OF EXISTING APPROACHES</t>
  </si>
  <si>
    <t>MASLENNIKOV V, 2021, QUAL ACCESS SUCCESS</t>
  </si>
  <si>
    <t>&lt;a href="https://doi.org/10.17159/2078-516X/2021/v33i1a9220" target="_blank"&gt;10.17159/2078-516X/2021/v33i1a9220&lt;/a&gt;</t>
  </si>
  <si>
    <t>LUMB M;MARAIS K</t>
  </si>
  <si>
    <t>THE BUSINESS MANAGEMENT TRAINING NEEDS OF SOUTH AFRICAN BIOKINETICISTS TO ENSURE BUSINESS SUSTAINABILITY</t>
  </si>
  <si>
    <t>LUMB M, 2021, S AFR J SPORT MED</t>
  </si>
  <si>
    <t>&lt;a href="https://doi.org/10.1590/1678-6971/ERAMD210033" target="_blank"&gt;10.1590/1678-6971/ERAMD210033&lt;/a&gt;</t>
  </si>
  <si>
    <t>GIESEL H;NOBRE F</t>
  </si>
  <si>
    <t>IMPLICATIONS OF BLOCKCHAIN AND TRANSPARENCY FOR BUSINESS SUSTAINABILITY: AN INTEGRATIVE REVIEW [IMPLICAÇÕES DE BLOCKCHAIN E TRANSPARÊNCIA PARA A SUSTENTABILIDADE EMPRESARIAL: REVISÃO INTEGRATIVA]</t>
  </si>
  <si>
    <t>GIESEL H, 2021, REVISTA ADMINISTRACAO MACKENZIE</t>
  </si>
  <si>
    <t>&lt;a href="https://doi.org/10.1504/IJSOM.2019.103571" target="_blank"&gt;10.1504/IJSOM.2019.103571&lt;/a&gt;</t>
  </si>
  <si>
    <t>BELAL H;OTHMAN S;ZAIDI M;SHIRAHADA K</t>
  </si>
  <si>
    <t>COLLABORATION IMPACT ON SOCIAL WELL-BEING FOR BUSINESS SUSTAINABILITY: A CASE STUDY OF A MALAYSIAN WATER TREATMENT SME COMPANY</t>
  </si>
  <si>
    <t>BELAL H, 2019, INT J SERV OPER MANAGE</t>
  </si>
  <si>
    <t>&lt;a href="https://doi.org/10.24857/rgsa.v11i2.1260" target="_blank"&gt;10.24857/rgsa.v11i2.1260&lt;/a&gt;</t>
  </si>
  <si>
    <t>SILVEIRA G;ALBERTON L;VICENTE E</t>
  </si>
  <si>
    <t>THE STATE OF THE ART OF SUSTAINABILITY REPORTING ASSURANCE: A STUDY OF BUSINESS SUSTAINABILITY INDEX (ISE) 2016 [O ESTADO DA ARTE DA ASSEGURAÇÃO DOS RELATÓ RIOS DE SUSTENTABILIDADE: UM ESTUDO DAS EMPRESAS DO ÍNDICE DE SUSTENTABILIDADE EMPRESARIAL (ISE) 2016]</t>
  </si>
  <si>
    <t>SILVEIRA G, 2017, REV GESTAO SOC AMBIENT</t>
  </si>
  <si>
    <t>&lt;a href="https://doi.org/10.1007/s43621-024-00401-4" target="_blank"&gt;10.1007/s43621-024-00401-4&lt;/a&gt;</t>
  </si>
  <si>
    <t>HANAYSHA J;AL-SHAIKH M</t>
  </si>
  <si>
    <t>IMPACT OF ENTREPRENEURIAL ORIENTATION, MARKETING CAPABILITY, AND MARKET ORIENTATION ON BUSINESS SUSTAINABILITY AND CORPORATE REPUTATION</t>
  </si>
  <si>
    <t>HANAYSHA J, 2024, DISCOV SUSTAIN</t>
  </si>
  <si>
    <t>&lt;a href="https://doi.org/10.21511/im.18(3).2022.11" target="_blank"&gt;10.21511/im.18(3).2022.11&lt;/a&gt;</t>
  </si>
  <si>
    <t>ZAHARA Z;MUSLIMIN M;BUNTUANG P</t>
  </si>
  <si>
    <t>THE IMPACT OF MARKETING INNOVATIONS AND BUSINESS PLANS ON BUSINESS SUSTAINABILITY DURING THE COVID-19 PANDEMIC</t>
  </si>
  <si>
    <t>ZAHARA Z, 2022, INNOV MARKET</t>
  </si>
  <si>
    <t>&lt;a href="https://doi.org/10.21002/seam.v18i1.1457" target="_blank"&gt;10.21002/seam.v18i1.1457&lt;/a&gt;</t>
  </si>
  <si>
    <t>KURNIAWAN D;TAMBUNAN D;DEWI G</t>
  </si>
  <si>
    <t>RELATIONSHIPS AMONG CRISIS LEADERSHIP, INNOVATION CAPABILITY, IMPLEMENTATION OF BUSINESS CONTINUITY MANAGEMENT, AND SUSTAINABLE PERFORMANCE IN THE COVID-19 PANDEMIC</t>
  </si>
  <si>
    <t>KURNIAWAN D, 2024, S E ASIAN J MANAGE</t>
  </si>
  <si>
    <t>&lt;a href="https://doi.org/10.22478/ufpb.2318-1001.2022v10n3.58114" target="_blank"&gt;10.22478/ufpb.2318-1001.2022v10n3.58114&lt;/a&gt;</t>
  </si>
  <si>
    <t>CORREIA J;DOS A L;MACEDO M</t>
  </si>
  <si>
    <t>REASON OF CHANCES FOR ADOPTING THE BUSINESS SUSTAINABILITY INDEX DETERMINED BY ECONOMIC-FINANCIAL PERFORMANCE AND CORPORATE GOVERNANCE</t>
  </si>
  <si>
    <t>CORREIA J, 2022, REV EVIDENCIACAO CON</t>
  </si>
  <si>
    <t>&lt;a href="https://doi.org/10.1016/j.sftr.2024.100263" target="_blank"&gt;10.1016/j.sftr.2024.100263&lt;/a&gt;</t>
  </si>
  <si>
    <t>KIM L</t>
  </si>
  <si>
    <t>KEY DETERMINANTS OF PRODUCT VALUE FOR BUSINESS SUSTAINABILITY IN GLOVE INDUSTRY: A MODERATING IMPACT OF TECHNOLOGICAL COMPETENCY</t>
  </si>
  <si>
    <t>KIM L, 2024, SUSTAIN FUTURES</t>
  </si>
  <si>
    <t>&lt;a href="https://doi.org/10.1111/jiec.13521" target="_blank"&gt;10.1111/jiec.13521&lt;/a&gt;</t>
  </si>
  <si>
    <t>D'AMATO D;LA N A;DAMIANI M;SALA S</t>
  </si>
  <si>
    <t>BIODIVERSITY AND ECOSYSTEM SERVICES IN BUSINESS SUSTAINABILITY: TOWARD SYSTEMATIC, VALUE CHAIN-WIDE MONITORING THAT ALIGNS WITH PUBLIC ACCOUNTING</t>
  </si>
  <si>
    <t>D'AMATO D, 2024, J IND ECOL</t>
  </si>
  <si>
    <t>&lt;a href="https://doi.org/10.3390/su16219201" target="_blank"&gt;10.3390/su16219201&lt;/a&gt;</t>
  </si>
  <si>
    <t>OLALEYE B;LEKUNZE J;SEKHAMPU T;KHUMALO N;AYENI A</t>
  </si>
  <si>
    <t>LEVERAGING INNOVATION CAPABILITY AND ORGANIZATIONAL RESILIENCE FOR BUSINESS SUSTAINABILITY AMONG SMALL AND MEDIUM ENTERPRISES: A PLS-SEM APPROACH</t>
  </si>
  <si>
    <t>OLALEYE B, 2024, SUSTAINABILITY-BASEL</t>
  </si>
  <si>
    <t>&lt;a href="https://doi.org/10.25112/rgd.v20i1.2975" target="_blank"&gt;10.25112/rgd.v20i1.2975&lt;/a&gt;</t>
  </si>
  <si>
    <t>PROCHNOW K;NOSSA V;NOSSA S;SEPULCRI L</t>
  </si>
  <si>
    <t>PRESENCE OF WOMEN ON THE BOARD OF DIRECTORS AND THE COMPANY?S PARTICIPATION IN THE BUSINESS SUSTAINABILITY INDEX</t>
  </si>
  <si>
    <t>PROCHNOW K, 2023, GEST DESENVOLV</t>
  </si>
  <si>
    <t>&lt;a href="https://doi.org/10.26437/ajar.v10i1.708" target="_blank"&gt;10.26437/ajar.v10i1.708&lt;/a&gt;</t>
  </si>
  <si>
    <t>ANABA O;ASUNKA B;BOATBIL C;POLYCARP D;AKANYAKO J;MBA O</t>
  </si>
  <si>
    <t>EMBRACING BUSINESS SUSTAINABILITY: THE CASE OF SMALL AND MICRO TOURIST ACCOMMODATION IN THE UPPER EAST REGION</t>
  </si>
  <si>
    <t>ANABA O, 2024, AFR J APPL RES</t>
  </si>
  <si>
    <t>&lt;a href="https://doi.org/10.15676/ijeei.2024.16.1.3" target="_blank"&gt;10.15676/ijeei.2024.16.1.3&lt;/a&gt;</t>
  </si>
  <si>
    <t>ISMAWAN D;WANDEBORI H</t>
  </si>
  <si>
    <t>BUSINESS SUSTAINABILITY MODEL FOR TELECOMMUNICATIONS INFRASTRUCTURE IN RURAL AREA</t>
  </si>
  <si>
    <t>ISMAWAN D, 2024, INT J ELECTR ENG INFORMATICS</t>
  </si>
  <si>
    <t>&lt;a href="https://doi.org/10.48009/4_iis_2024_109" target="_blank"&gt;10.48009/4_iis_2024_109&lt;/a&gt;</t>
  </si>
  <si>
    <t>WHITE G;LIPTAK S</t>
  </si>
  <si>
    <t>SMALL BUSINESS CONTINUITY AND DISASTER RECOVERY PLANS USING AI AND CHATGPT</t>
  </si>
  <si>
    <t>WHITE G, 2024, ISSUE INF SYST</t>
  </si>
  <si>
    <t>&lt;a href="https://doi.org/10.24294/jipd.v8i6.3947" target="_blank"&gt;10.24294/jipd.v8i6.3947&lt;/a&gt;</t>
  </si>
  <si>
    <t>WOLOR C;ERANZA D;RABABAH M;NURKHIN A;HOO W</t>
  </si>
  <si>
    <t>THE IMPACT OF INTERPERSONAL TRUST DEVELOPMENT ON MAINTAINING BUSINESS SUSTAINABILITY: A CASE STUDY OF ACEH GAYO COFFEE FROM SUMATERA, INDONESIA</t>
  </si>
  <si>
    <t>WOLOR C, 2024, J INFRASTRUCT POLICY DEV</t>
  </si>
  <si>
    <t>&lt;a href="https://doi.org/10.24857/rgsa.v18n9-087" target="_blank"&gt;10.24857/rgsa.v18n9-087&lt;/a&gt;</t>
  </si>
  <si>
    <t>WULANDARI P;SASKARA I;YASA I;MARHAENI A</t>
  </si>
  <si>
    <t>KEY VARIABLES FOR FARMING BUSINESS SUSTAINABILITY IN URBAN SUBAK</t>
  </si>
  <si>
    <t>WULANDARI P, 2024, REV GESTAO SOC AMBIENT</t>
  </si>
  <si>
    <t>&lt;a href="https://doi.org/10.1088/1755-1315/1324/1/012068" target="_blank"&gt;10.1088/1755-1315/1324/1/012068&lt;/a&gt;</t>
  </si>
  <si>
    <t>KARIM N;SETIAWAN M;AZHANA F</t>
  </si>
  <si>
    <t>SLOW FASHION: BETWEEN ENVIRONMENT SUSTAINABILITY AND BUSINESS SUSTAINABILITY</t>
  </si>
  <si>
    <t>KARIM N, 2024, IOP CONF SER EARTH ENVIRON SCI</t>
  </si>
  <si>
    <t>&lt;a href="https://doi.org/10.37960/REVISTA.V24I2.31499" target="_blank"&gt;10.37960/REVISTA.V24I2.31499&lt;/a&gt;</t>
  </si>
  <si>
    <t>PINEDA C D;DÍAZ R M;CASTRO R C</t>
  </si>
  <si>
    <t>EFFECT OF TAX REFORMS ON COLOMBIAN BUSINESS SUSTAINABILITY (2012-2018) [EFECTO DE LAS REFORMAS TRIBUTARIAS EN LA SOSTENIBILIDAD EMPRESARIAL COLOMBIANA (2012-2018)]</t>
  </si>
  <si>
    <t>PINEDA C D, 2019, REV VENEZ GERENCIA</t>
  </si>
  <si>
    <t>&lt;a href="https://doi.org/10.32861/jssr.412.761.768" target="_blank"&gt;10.32861/jssr.412.761.768&lt;/a&gt;</t>
  </si>
  <si>
    <t>MOHAMAD Z;BUKHARI W;ISMAIL I;OMAR K;YAAKOP A;MUDA S</t>
  </si>
  <si>
    <t>RELATIONSHIP BETWEEN MOTIVATION AND BUSINESS SUSTAINABILITY: A STUDY ON HOMESTAY ENTREPRENEURS IN MALAYSIA</t>
  </si>
  <si>
    <t>MOHAMAD Z, 2018, J SOC SCI RES</t>
  </si>
  <si>
    <t>&lt;a href="https://doi.org/10.11113/jt.v77.6131" target="_blank"&gt;10.11113/jt.v77.6131&lt;/a&gt;</t>
  </si>
  <si>
    <t>TAIB M;UDIN Z;GHANI A</t>
  </si>
  <si>
    <t>THE IMPACT OF GREEN MANAGEMENT AND TECHNOLOGY IN ELECTRICAL AND ELECTRONICS MANUFACTURING IN BUSINESS SUSTAINABILITY IN MALAYSIA</t>
  </si>
  <si>
    <t>TAIB M, 2015, J TEKNOL</t>
  </si>
  <si>
    <t>&lt;a href="https://doi.org/10.5901/mjss.2014.v5n23p711" target="_blank"&gt;10.5901/mjss.2014.v5n23p711&lt;/a&gt;</t>
  </si>
  <si>
    <t>MATSIMBI A;MTAPURI O</t>
  </si>
  <si>
    <t>BUSINESS SUSTAINABILITY CHALLENGES EXPERIENCED BY PHILANTHROPIC NON-GOVERNMENTAL ORGANISATIONS: THE CASE OF THE CAPRICORN DISTRICT MUNICIPALITY, SOUTH AFRICA</t>
  </si>
  <si>
    <t>MATSIMBI A, 2014, MEDITERRANEAN J SOC SCI</t>
  </si>
  <si>
    <t>&lt;a href="https://doi.org/10.1002/smj.625" target="_blank"&gt;10.1002/smj.625&lt;/a&gt;</t>
  </si>
  <si>
    <t>BURGELMAN R;GROVE A</t>
  </si>
  <si>
    <t>LET CHAOS REIGN, THEN REIN IN CHAOS - REPEATEDLY: MANAGING STRATEGIC DYNAMICS FOR CORPORATE LONGEVITY</t>
  </si>
  <si>
    <t>BURGELMAN R, 2007, STRATEGIC MANAGE J</t>
  </si>
  <si>
    <t>&lt;a href="https://doi.org/10.1016/j.ijpe.2021.108065" target="_blank"&gt;10.1016/j.ijpe.2021.108065&lt;/a&gt;</t>
  </si>
  <si>
    <t>CHAUDHURI A;DATTA P;FERNANDES K;XIONG Y</t>
  </si>
  <si>
    <t>OPTIMAL PRICING STRATEGIES FOR MANUFACTURING-AS-A SERVICE PLATFORMS TO ENSURE BUSINESS SUSTAINABILITY</t>
  </si>
  <si>
    <t>CHAUDHURI A, 2021, INT J PROD ECON</t>
  </si>
  <si>
    <t>&lt;a href="https://doi.org/10.1016/j.promfg.2017.07.176" target="_blank"&gt;10.1016/j.promfg.2017.07.176&lt;/a&gt;</t>
  </si>
  <si>
    <t>MEZA-RUIZ I;ROCHA-LONA L;DEL R S M;GARZA-REYES J;KUMAR V;LOPEZ-TORRES G</t>
  </si>
  <si>
    <t>MEASURING BUSINESS SUSTAINABILITY MATURITY-LEVELS AND BEST PRACTICES</t>
  </si>
  <si>
    <t>MEZA-RUIZ I, 2017, PROCEDIA MANUF</t>
  </si>
  <si>
    <t>&lt;a href="https://doi.org/10.1177/030630701103700202" target="_blank"&gt;10.1177/030630701103700202&lt;/a&gt;</t>
  </si>
  <si>
    <t>CHANDRA Y;YANG S</t>
  </si>
  <si>
    <t>MANAGING DISRUPTIVE INNOVATION: ENTREPRENEURIAL STRATEGIES AND TOURNAMENTS FOR CORPORATE LONGEVITY</t>
  </si>
  <si>
    <t>CHANDRA Y, 2011, J GEN MANAGE</t>
  </si>
  <si>
    <t>&lt;a href="https://doi.org/10.1016/j.pdisas.2020.100117" target="_blank"&gt;10.1016/j.pdisas.2020.100117&lt;/a&gt;</t>
  </si>
  <si>
    <t>MUKHERJEE M;CHATTERJEE R;KHANNA B;DHILLON P;KUMAR A;BAJWA S;PRAKASH A;SHAW R</t>
  </si>
  <si>
    <t>ECOSYSTEM-CENTRIC BUSINESS CONTINUITY PLANNING (ECO-CENTRIC BCP): A POST COVID19 NEW NORMAL</t>
  </si>
  <si>
    <t>MUKHERJEE M, 2020, PROG DISASTER SCI</t>
  </si>
  <si>
    <t>&lt;a href="https://doi.org/10.3390/su13063177" target="_blank"&gt;10.3390/su13063177&lt;/a&gt;</t>
  </si>
  <si>
    <t>HERNITA H;SURYA B;PERWIRA I;ABUBAKAR H;IDRIS M</t>
  </si>
  <si>
    <t>ECONOMIC BUSINESS SUSTAINABILITY AND STRENGTHENING HUMAN RESOURCE CAPACITY BASED ON INCREASING THE PRODUCTIVITY OF SMALL AND MEDIUM ENTERPRISES (SMES) IN MAKASSAR CITY, INDONESIA</t>
  </si>
  <si>
    <t>HERNITA H, 2021, SUSTAINABILITY-BASEL</t>
  </si>
  <si>
    <t>&lt;a href="https://doi.org/10.1016/j.indmarman.2013.10.004" target="_blank"&gt;10.1016/j.indmarman.2013.10.004&lt;/a&gt;</t>
  </si>
  <si>
    <t>GUPTA S;RUDD J;LEE N</t>
  </si>
  <si>
    <t>BUSINESS SUSTAINABILITY THROUGH SUCCESSFUL INTEGRATION OF MARKETING AND OPERATIONS INTRODUCTION</t>
  </si>
  <si>
    <t>GUPTA S, 2014, IND MARKET MANAG</t>
  </si>
  <si>
    <t>&lt;a href="https://doi.org/10.1071/AH080161" target="_blank"&gt;10.1071/AH080161&lt;/a&gt;</t>
  </si>
  <si>
    <t>GEELEN-BAASS B;JOHNSTONE J</t>
  </si>
  <si>
    <t>BUILDING RESILIENCY: ENSURING BUSINESS CONTINUITY IS ON THE HEALTH CARE AGENDA</t>
  </si>
  <si>
    <t>GEELEN-BAASS B, 2008, AUST HEALTH REV</t>
  </si>
  <si>
    <t>&lt;a href="https://doi.org/10.3727/108354219X15511864843786" target="_blank"&gt;10.3727/108354219X15511864843786&lt;/a&gt;</t>
  </si>
  <si>
    <t>CANTINO V;GIACOSA E;ALFIERO S;SHAMS S;FERRARIS A</t>
  </si>
  <si>
    <t>INTRODUCTION: SMART TOURISM BUSINESSES (SUSTAINABILITY, MEASURABILITY, AWARENESS, RECOGNITION, &amp; TECHNOLOGY)</t>
  </si>
  <si>
    <t>CANTINO V, 2019, TOUR ANAL</t>
  </si>
  <si>
    <t>&lt;a href="https://doi.org/10.3390/su11082236" target="_blank"&gt;10.3390/su11082236&lt;/a&gt;</t>
  </si>
  <si>
    <t>LIN A;CHANG H</t>
  </si>
  <si>
    <t>BUSINESS SUSTAINABILITY PERFORMANCE EVALUATION FOR TAIWANESE BANKSA HYBRID MULTIPLE-CRITERIA DECISION-MAKING APPROACH</t>
  </si>
  <si>
    <t>LIN A, 2019, SUSTAINABILITY-BASEL</t>
  </si>
  <si>
    <t>&lt;a href="https://doi.org/10.1109/ICIMP.2007.4" target="_blank"&gt;10.1109/ICIMP.2007.4&lt;/a&gt;</t>
  </si>
  <si>
    <t>ZAMBON E;BOLZONI D;ETALLE S;SALVATO M</t>
  </si>
  <si>
    <t>A MODEL SUPPORTING BUSINESS CONTINUITY AUDITING &amp; PLANNING IN INFORMATION SYSTEMS</t>
  </si>
  <si>
    <t>ZAMBON E, 2007, SECOND INT CONF INTERNET MONITOR PROT</t>
  </si>
  <si>
    <t>&lt;a href="https://doi.org/10.1108/02656710210427566" target="_blank"&gt;10.1108/02656710210427566&lt;/a&gt;</t>
  </si>
  <si>
    <t>ROBSON A;PRABHU V;MITCHELL E</t>
  </si>
  <si>
    <t>TQM ENABLERS AND BUSINESS SUSTAINABILITY: AN EMPIRICAL STUDY OF THE SERVICE SECTOR IN THE NORTH EAST OF ENGLAND</t>
  </si>
  <si>
    <t>ROBSON A, 2002, INT J QUAL RELIAB MANAGE</t>
  </si>
  <si>
    <t>&lt;a href="https://doi.org/10.1109/TIC-STH.2009.5444515" target="_blank"&gt;10.1109/TIC-STH.2009.5444515&lt;/a&gt;</t>
  </si>
  <si>
    <t>BOEHMER W;BRANDT C;GROOTE J</t>
  </si>
  <si>
    <t>EVALUATION OF A BUSINESS CONTINUITY PLAN USING PROCESS ALGEBRA AND MODAL LOGIC</t>
  </si>
  <si>
    <t>BOEHMER W, 2009, TIC-STH: IEEE TORONTO INT CONF - SCI TECHNOL HUMANIT</t>
  </si>
  <si>
    <t>&lt;a href="https://doi.org/10.3390/su11030715" target="_blank"&gt;10.3390/su11030715&lt;/a&gt;</t>
  </si>
  <si>
    <t>E-COMMERCE LIABILITY AND SECURITY BREACHES IN MOBILE PAYMENT FOR E-BUSINESS SUSTAINABILITY</t>
  </si>
  <si>
    <t>CHUN S, 2019, SUSTAINABILITY-BASEL</t>
  </si>
  <si>
    <t>&lt;a href="https://doi.org/10.3390/su13094975" target="_blank"&gt;10.3390/su13094975&lt;/a&gt;</t>
  </si>
  <si>
    <t>GRENCÍKOVA A;KORDOS M;BARTEK J;BERKOVIC V</t>
  </si>
  <si>
    <t>THE IMPACT OF THE INDUSTRY 4.0 CONCEPT ON SLOVAK BUSINESS SUSTAINABILITY WITHIN THE ISSUE OF THE PANDEMIC OUTBREAK</t>
  </si>
  <si>
    <t>GRENCÍKOVA A, 2021, SUSTAINABILITY-BASEL</t>
  </si>
  <si>
    <t>&lt;a href="https://doi.org/10.1088/1757-899X/298/1/012050" target="_blank"&gt;10.1088/1757-899X/298/1/012050&lt;/a&gt;</t>
  </si>
  <si>
    <t>LIMITATIONS AND CHALLENGES TOWARDS AN EFFECTIVE BUSINESS CONTINUITY MANAGEMENT IN NUKLEAR MALAYSIA</t>
  </si>
  <si>
    <t>HAMID A, 2018, IOP CONF SER MATER SCI ENG</t>
  </si>
  <si>
    <t>&lt;a href="https://doi.org/10.1111/radm.12596" target="_blank"&gt;10.1111/radm.12596&lt;/a&gt;</t>
  </si>
  <si>
    <t>LEE V;DWIVEDI Y;TAN G;OOI K;WONG L</t>
  </si>
  <si>
    <t>HOW DOES INFORMATION TECHNOLOGY CAPABILITIES AFFECT BUSINESS SUSTAINABILITY? THE ROLES OF AMBIDEXTROUS INNOVATION AND DATA-DRIVEN CULTURE</t>
  </si>
  <si>
    <t>LEE V, 2024, R&amp;D MANAGE</t>
  </si>
  <si>
    <t>&lt;a href="https://doi.org/10.1088/1755-1315/630/1/012016" target="_blank"&gt;10.1088/1755-1315/630/1/012016&lt;/a&gt;</t>
  </si>
  <si>
    <t>MEECHANG K;LEELAWAT N;TANG J;INO E;KODAKA A;CHINTANAPAKDEE C;WATANABE K</t>
  </si>
  <si>
    <t>AFFECTING FACTORS ON PERCEIVED USEFULNESS OF AREA-BUSINESS CONTINUITY MANAGEMENT: A PERSPECTIVE FROM EMPLOYEES IN INDUSTRIAL AREAS IN THAILAND</t>
  </si>
  <si>
    <t>MEECHANG K, 2021, IOP CONF SER EARTH ENVIRON SCI</t>
  </si>
  <si>
    <t>&lt;a href="https://doi.org/10.2106/JBJS.OA.20.00050" target="_blank"&gt;10.2106/JBJS.OA.20.00050&lt;/a&gt;</t>
  </si>
  <si>
    <t>ENSURING BUSINESS CONTINUITY OF MUSCULOSKELETAL CARE DURING THE COVID-19 PANDEMIC EXPERIENCE OF A TERTIARY ORTHOPAEDIC SURGERY DEPARTMENT IN SINGAPORE</t>
  </si>
  <si>
    <t>LIOW M, 2020, JBJS OPEN ACCESS</t>
  </si>
  <si>
    <t>&lt;a href="https://doi.org/10.1002/joe.20085" target="_blank"&gt;10.1002/joe.20085&lt;/a&gt;</t>
  </si>
  <si>
    <t>ROITZ J;JACKSON E</t>
  </si>
  <si>
    <t>AT&amp;T ADDS BUSINESS CONTINUITY TO THE LONG LIST OF TELEWORK'S ADVANTAGES</t>
  </si>
  <si>
    <t>ROITZ J, 2006, J ORGAN EXCELLENCE</t>
  </si>
  <si>
    <t>&lt;a href="https://doi.org/10.3389/fpsyg.2022.942048" target="_blank"&gt;10.3389/fpsyg.2022.942048&lt;/a&gt;</t>
  </si>
  <si>
    <t>YI L;KHAN M;SAFEER A</t>
  </si>
  <si>
    <t>FIRM INNOVATION ACTIVITIES AND CONSUMER BRAND LOYALTY: A PATH TO BUSINESS SUSTAINABILITY IN ASIA</t>
  </si>
  <si>
    <t>YI L, 2022, FRONT PSYCHOL</t>
  </si>
  <si>
    <t>&lt;a href="https://doi.org/10.1016/j.proeng.2016.06.390" target="_blank"&gt;10.1016/j.proeng.2016.06.390&lt;/a&gt;</t>
  </si>
  <si>
    <t>JINGYE L;TAKEHIRO T</t>
  </si>
  <si>
    <t>PRACTICAL PROCESS FOR INTRODUCING SMART BUSINESS CONTINUITY MANAGEMENT OF SMART CITY IN JAPAN</t>
  </si>
  <si>
    <t>JINGYE L, 2016, PROCEDIA ENG</t>
  </si>
  <si>
    <t>&lt;a href="https://doi.org/10.1155/2015/521289" target="_blank"&gt;10.1155/2015/521289&lt;/a&gt;</t>
  </si>
  <si>
    <t>NGUYEN T;MIN D;PARK J</t>
  </si>
  <si>
    <t>A COMPREHENSIVE SENSITIVITY ANALYSIS OF A DATA CENTER NETWORK WITH SERVER VIRTUALIZATION FOR BUSINESS CONTINUITY</t>
  </si>
  <si>
    <t>NGUYEN T, 2015, MATH PROBL ENG</t>
  </si>
  <si>
    <t>&lt;a href="https://doi.org/10.1071/nb06035" target="_blank"&gt;10.1071/nb06035&lt;/a&gt;</t>
  </si>
  <si>
    <t>BUSINESS CONTINUITY MANAGEMENT AND PANDEMIC INFLUENZA.</t>
  </si>
  <si>
    <t>DALTON C, 2006, N S W PUBLIC HEALTH BULL</t>
  </si>
  <si>
    <t>&lt;a href="https://doi.org/10.1080/13683500.2019.1694494" target="_blank"&gt;10.1080/13683500.2019.1694494&lt;/a&gt;</t>
  </si>
  <si>
    <t>NGO T;LOHMANN G;HALES R</t>
  </si>
  <si>
    <t>INTEGRATING THE &lt;I&gt;THIRD WAY&lt;/I&gt; AND &lt;I&gt;THIRD SPACE&lt;/I&gt; APPROACHES IN A POST-COLONIAL WORLD: MARKETING STRATEGIES FOR THE BUSINESS SUSTAINABILITY OF COMMUNITY-BASED TOURISM ENTERPRISES IN VIETNAM</t>
  </si>
  <si>
    <t>NGO T, 2020, CURR ISSUES TOUR</t>
  </si>
  <si>
    <t>&lt;a href="https://doi.org/10.32861/jssr.53.826.829" target="_blank"&gt;10.32861/jssr.53.826.829&lt;/a&gt;</t>
  </si>
  <si>
    <t>ISMAIL M;ZAINOL F;YUSOFF M;RUSULI M</t>
  </si>
  <si>
    <t>THE DRIVING FORCE OF THE BUSINESS SUSTAINABILITY MODEL AMONG CO-OPERATIVES IN MALAYSIA</t>
  </si>
  <si>
    <t>ISMAIL M, 2019, J SOC SCI RES</t>
  </si>
  <si>
    <t>&lt;a href="https://doi.org/10.1007/978-3-642-15257-3_2" target="_blank"&gt;10.1007/978-3-642-15257-3_2&lt;/a&gt;</t>
  </si>
  <si>
    <t>CAELLI W;KWOK L;LONGLEY D</t>
  </si>
  <si>
    <t>A BUSINESS CONTINUITY MANAGEMENT SIMULATOR</t>
  </si>
  <si>
    <t>CAELLI W, 2010, IFIP ADVANCES IN INFORMATION AND COMMUNICATION TECHNOLOGY</t>
  </si>
  <si>
    <t>&lt;a href="https://doi.org/10.1371/journal.pone.0295802" target="_blank"&gt;10.1371/journal.pone.0295802&lt;/a&gt;</t>
  </si>
  <si>
    <t>TIAN Z;QIU L;WANG L</t>
  </si>
  <si>
    <t>DRIVERS AND INFLUENCERS OF BLOCKCHAIN AND CLOUD-BASED BUSINESS SUSTAINABILITY ACCOUNTING IN CHINA: ENHANCING PRACTICES AND PROMOTING ADOPTION</t>
  </si>
  <si>
    <t>TIAN Z, 2024, PLOS ONE</t>
  </si>
  <si>
    <t>&lt;a href="https://doi.org/10.1186/1472-6963-10-205" target="_blank"&gt;10.1186/1472-6963-10-205&lt;/a&gt;</t>
  </si>
  <si>
    <t>WANING B;MADDIX J;SOUCY L</t>
  </si>
  <si>
    <t>BALANCING MEDICINE PRICES AND BUSINESS SUSTAINABILITY: ANALYSES OF PHARMACY COSTS, REVENUES AND PROFIT SHED LIGHT ON RETAIL MEDICINE MARK-UPS IN RURAL KYRGYZSTAN</t>
  </si>
  <si>
    <t>WANING B, 2010, BMC HEALTH SERV RES</t>
  </si>
  <si>
    <t>&lt;a href="https://doi.org/10.1016/S1744-2117(08)04008-5" target="_blank"&gt;10.1016/S1744-2117(08)04008-5&lt;/a&gt;</t>
  </si>
  <si>
    <t>KWEE Z;VAN D B F;VOLBERDA H</t>
  </si>
  <si>
    <t>COEVOLUTIONARY COMPETENCE IN THE REALM OF CORPORATE LONGEVITY: HOW LONG-LIVED FIRMS STRATEGICALLY RENEW THEMSELVES</t>
  </si>
  <si>
    <t>KWEE Z, 2008, RES COMPETENCE-BASED MANAGE</t>
  </si>
  <si>
    <t>&lt;a href="https://doi.org/10.1051/e3sconf/202127706009" target="_blank"&gt;10.1051/e3sconf/202127706009&lt;/a&gt;</t>
  </si>
  <si>
    <t>GREEN INTELLECTUAL CAPITAL FACTORS LEADING TO BUSINESS SUSTAINABILITY</t>
  </si>
  <si>
    <t>JERMSITTIPARSERT K, 2021, E3S WEB CONF</t>
  </si>
  <si>
    <t>&lt;a href="https://doi.org/10.1016/j.ijdrr.2021.102511" target="_blank"&gt;10.1016/j.ijdrr.2021.102511&lt;/a&gt;</t>
  </si>
  <si>
    <t>ASANO T;NAGAYAMA A</t>
  </si>
  <si>
    <t>ANALYSIS OF WORKLOAD REQUIRED FOR REMOVAL OF DRIFTING PUMICE AFTER A VOLCANIC DISASTER AS AN ASPECT OF A PORT BUSINESS CONTINUITY PLAN: A CASE</t>
  </si>
  <si>
    <t>ASANO T, 2021, INT J DISAST RISK RE</t>
  </si>
  <si>
    <t>&lt;a href="https://doi.org/10.20397/2177-6652/2019.v19i2.1563" target="_blank"&gt;10.20397/2177-6652/2019.v19i2.1563&lt;/a&gt;</t>
  </si>
  <si>
    <t>SILVA V;LUCENA W</t>
  </si>
  <si>
    <t>ENVIRONMENTAL ACCOUNTING: ANALYSIS OF THE PARTICIPATION IN THE BUSINESS SUSTAINABILITY INDEX (ISE) AND THE PROFITABILITY OF THE COMPANIES LISTED IN [B]&lt;SUP&gt;3&lt;/SUP&gt;</t>
  </si>
  <si>
    <t>SILVA V, 2019, REV GEST TECNOL</t>
  </si>
  <si>
    <t>&lt;a href="https://doi.org/10.24251/hicss.2020.241" target="_blank"&gt;10.24251/hicss.2020.241&lt;/a&gt;</t>
  </si>
  <si>
    <t>UNDERSTANDING THE STAKEHOLDER ROLES IN BUSINESS CONTINUITY MANAGEMENT PRACTICES - A STUDY IN PUBLIC SECTOR</t>
  </si>
  <si>
    <t>JÄRVELÄINEN J, 2020, PROC ANNU HAWAII INT CONF SYST SCI</t>
  </si>
  <si>
    <t>&lt;a href="https://doi.org/10.1177/0256090919898909" target="_blank"&gt;10.1177/0256090919898909&lt;/a&gt;</t>
  </si>
  <si>
    <t>UZMA S;PRATIHARI S</t>
  </si>
  <si>
    <t>FINANCIAL MODELLING FOR BUSINESS SUSTAINABILITY: A STUDY OF BUSINESS CORRESPONDENT MODEL OF FINANCIAL INCLUSION IN INDIA</t>
  </si>
  <si>
    <t>UZMA S, 2019, VIKALPA</t>
  </si>
  <si>
    <t>&lt;a href="https://doi.org/10.3141/2137-10" target="_blank"&gt;10.3141/2137-10&lt;/a&gt;</t>
  </si>
  <si>
    <t>MONGIOI F;MCNALLY L;THOMPSON R</t>
  </si>
  <si>
    <t>INTEGRATING MEASURES FOR BUSINESS CONTINUITY AND TRANSPORTATION DEMAND MANAGEMENT TO ENSURE REGIONAL EMERGENCY PREPAREDNESS AND MOBILITY</t>
  </si>
  <si>
    <t>MONGIOI F, 2009, TRANSP RES REC</t>
  </si>
  <si>
    <t>&lt;a href="https://doi.org/10.9770/jesi.2021.8.4(22)" target="_blank"&gt;10.9770/jesi.2021.8.4(22)&lt;/a&gt;</t>
  </si>
  <si>
    <t>GONZÁLEZ-DÍAZ R;GÓMEZ S;ACEVEDO-DUQUE A;CAMPOS J;VARGAS E</t>
  </si>
  <si>
    <t>INTRINSIC ALIGNMENT WITH STRATEGY AS A SOURCE OF BUSINESS SUSTAINABILITY IN SMES</t>
  </si>
  <si>
    <t>GONZÁLEZ-DÍAZ R, 2021, ENTREP SUSTAIN ISS</t>
  </si>
  <si>
    <t>&lt;a href="https://doi.org/10.20965/jdr.2022.p0923" target="_blank"&gt;10.20965/jdr.2022.p0923&lt;/a&gt;</t>
  </si>
  <si>
    <t>THE CRITICAL SUCCESS FACTORS OF AREA-BUSINESS CONTINUITY MANAGEMENT: A SYSTEMATIC REVIEW AND OUTLOOKS FROM THE PUBLIC AND PRIVATE SECTORS</t>
  </si>
  <si>
    <t>MEECHANG K, 2022, J DISASTER RES</t>
  </si>
  <si>
    <t>&lt;a href="https://doi.org/10.1051/e3sconf/202020803061" target="_blank"&gt;10.1051/e3sconf/202020803061&lt;/a&gt;</t>
  </si>
  <si>
    <t>ILYIN S;KRASNYANSKAYA O;GAIMAN O;SIGANKOV A;BYKOVA A</t>
  </si>
  <si>
    <t>MANAGEMENT OF THE MARKET BUSINESS SUSTAINABILITY IN THE MODERN BUSINESS ENVIRONMENT</t>
  </si>
  <si>
    <t>ILYIN S, 2020, E3S WEB CONF</t>
  </si>
  <si>
    <t>&lt;a href="https://doi.org/10.1088/1757-899X/469/1/012015" target="_blank"&gt;10.1088/1757-899X/469/1/012015&lt;/a&gt;</t>
  </si>
  <si>
    <t>YUSOFF Y;OMAR M;KAMARUL Z M</t>
  </si>
  <si>
    <t>DOES ORGANIZATIONAL LEARNING CAPABILITY ALLOW IMPROVING BUSINESS SUSTAINABILITY? A QUANTITATIVE ANALYSIS IN THE MANUFACTURING SME CONTEXT</t>
  </si>
  <si>
    <t>YUSOFF Y, 2019, IOP CONF SER MATER SCI ENG</t>
  </si>
  <si>
    <t>&lt;a href="https://doi.org/10.1080/23311975.2019.1699299" target="_blank"&gt;10.1080/23311975.2019.1699299&lt;/a&gt;</t>
  </si>
  <si>
    <t>CSR SYMBOLIC POTENTIAL AND BUSINESS SUSTAINABILITY</t>
  </si>
  <si>
    <t>UJAN A, 2019, COGENT BUS MANAG</t>
  </si>
  <si>
    <t>&lt;a href="https://doi.org/10.1051/e3sconf/202020803034" target="_blank"&gt;10.1051/e3sconf/202020803034&lt;/a&gt;</t>
  </si>
  <si>
    <t>ILYIN S;KRASNYANSKAYA O;SHATSKAYA I;BEKETOVA O</t>
  </si>
  <si>
    <t>BUSINESS SUSTAINABILITY MANAGEMENT IN THE CURRENT SCIENTIFIC AND TECHNICAL CLIMATE</t>
  </si>
  <si>
    <t>ILYIN S, 2020, E3S WEB CONF-a</t>
  </si>
  <si>
    <t>&lt;a href="https://doi.org/10.1088/1755-1315/330/2/022069" target="_blank"&gt;10.1088/1755-1315/330/2/022069&lt;/a&gt;</t>
  </si>
  <si>
    <t>HU J;TANAKA T</t>
  </si>
  <si>
    <t>A STUDY ON SMART BUSINESS CONTINUITY MANAGEMENT FOR NEAR FUTURE CITIES "DIFFERENCES BETWEEN CHINESE AND JAPANESE SMART CITIES AS REGARDS BUILDINGS/FACILITIES: A CASE OF TOKYO AS THE REPRESENTATIVE OF JAPAN"</t>
  </si>
  <si>
    <t>HU J, 2019, IOP CONF SER EARTH ENVIRON SCI</t>
  </si>
  <si>
    <t>&lt;a href="https://doi.org/10.1057/dddmp.2015.50" target="_blank"&gt;10.1057/dddmp.2015.50&lt;/a&gt;</t>
  </si>
  <si>
    <t>KOLAH A;FOSS B;HICKLEY M</t>
  </si>
  <si>
    <t>WHAT SHOULD UK AND US MARKETERS DO TO PREPARE FOR THE BIGGEST THREAT TO BUSINESS CONTINUITY FOR A DECADE?</t>
  </si>
  <si>
    <t>KOLAH A, 2015, J DIR DATA DIGIT MARK PRACT</t>
  </si>
  <si>
    <t>&lt;a href="https://doi.org/10.1097/DMP.0b013e31819e6d8f" target="_blank"&gt;10.1097/DMP.0b013e31819e6d8f&lt;/a&gt;</t>
  </si>
  <si>
    <t>BIERENBAUM A;NEILEY B;SAVAGEAU C</t>
  </si>
  <si>
    <t>EDITORIAL: IMPORTANCE OF BUSINESS CONTINUITY IN HEALTH CARE</t>
  </si>
  <si>
    <t>BIERENBAUM A, 2009, DISASTER MED PUBLIC HEALTH PREPAREDNESS</t>
  </si>
  <si>
    <t>&lt;a href="https://doi.org/10.24818/18423264/54.4.20.04" target="_blank"&gt;10.24818/18423264/54.4.20.04&lt;/a&gt;</t>
  </si>
  <si>
    <t>RADULESCU V;ANGHEL L;CETINA I;CRUCERU A;ONISOR L</t>
  </si>
  <si>
    <t>JOB SATISFACTION AND SERVICES BUSINESS SUSTAINABILITY - EMPIRICAL STUDY USING ROLE THEORY</t>
  </si>
  <si>
    <t>RADULESCU V, 2020, ECON COMPUT ECON CYB</t>
  </si>
  <si>
    <t>&lt;a href="https://doi.org/10.1016/j.heliyon.2023.e15634" target="_blank"&gt;10.1016/j.heliyon.2023.e15634&lt;/a&gt;</t>
  </si>
  <si>
    <t>ARDYAN E;SUTRISNO T;PADMAWIDJAJA L</t>
  </si>
  <si>
    <t>NEW VALUE CREATION AND FAMILY BUSINESS SUSTAINABILITY: IDENTIFICATION OF AN INTERGENERATIONAL CONFLICT RESOLUTION STRATEGY</t>
  </si>
  <si>
    <t>ARDYAN E, 2023, HELIYON</t>
  </si>
  <si>
    <t>&lt;a href="https://doi.org/10.1371/journal.pone.0293582" target="_blank"&gt;10.1371/journal.pone.0293582&lt;/a&gt;</t>
  </si>
  <si>
    <t>SHANG M;OKORIE U;HANG Y;JIN X;UFUA D</t>
  </si>
  <si>
    <t>NATIONAL DEBT MANAGEMENT AND BUSINESS SUSTAINABILITY IN AFRICA'S LARGEST ECONOMY: A FOCUS ON THE PRIVATE SECTOR</t>
  </si>
  <si>
    <t>SHANG M, 2023, PLOS ONE</t>
  </si>
  <si>
    <t>&lt;a href="https://doi.org/10.1051/e3sconf/202342602067" target="_blank"&gt;10.1051/e3sconf/202342602067&lt;/a&gt;</t>
  </si>
  <si>
    <t>BUSINESS SUSTAINABILITY PERFORMANCE ON PANDEMIC: LESSON FROM IDX ESG LEADERS COMPANY</t>
  </si>
  <si>
    <t>MULYONO M, 2023, E3S WEB CONF</t>
  </si>
  <si>
    <t>&lt;a href="https://doi.org/10.1088/1755-1315/1221/1/012036" target="_blank"&gt;10.1088/1755-1315/1221/1/012036&lt;/a&gt;</t>
  </si>
  <si>
    <t>KUSUMANTI I;RAMADHANI D;ISKANDAR A;HENDRIANA A</t>
  </si>
  <si>
    <t>PRODUCTION PERFORMANCE OF AQUACULTURE: RELATIONSHIP TO BUSINESS SUSTAINABILITY IN THE NEW NORMAL ERA</t>
  </si>
  <si>
    <t>KUSUMANTI I, 2023, IOP CONF SER EARTH ENVIRON SCI</t>
  </si>
  <si>
    <t>&lt;a href="https://doi.org/10.4324/9781351285360" target="_blank"&gt;10.4324/9781351285360&lt;/a&gt;</t>
  </si>
  <si>
    <t>REZAEE Z;CHOI E</t>
  </si>
  <si>
    <t>THE RELEVANCE OF BUSINESS SUSTAINABILITY IN THE HOTEL INDUSTRY</t>
  </si>
  <si>
    <t>REZAEE Z, 2017, SUSTAIN IN HOSP: HOW INNOV HOTELS ARE TRANSFORM THE INDUSTRY</t>
  </si>
  <si>
    <t>&lt;a href="https://doi.org/10.1109/EDOC.2006.20" target="_blank"&gt;10.1109/EDOC.2006.20&lt;/a&gt;</t>
  </si>
  <si>
    <t>MARCOS-JORQUERA D;MACIÁ-PÉREZ F;GILART-IGLESIAS V;BERNÁ-MARTÍNEZ J</t>
  </si>
  <si>
    <t>BUSINESS CONTINUITY MODEL. REGENERATION SYSTEM FOR MANUFACTURING COMPONENTS</t>
  </si>
  <si>
    <t>MARCOS-JORQUERA D, 2006, PROC IEE INT ENTERPRISE DISTRIB OBJ COMPUT WORKSHOP EDOC</t>
  </si>
  <si>
    <t>&lt;a href="https://doi.org/10.1177/10860266231210610" target="_blank"&gt;10.1177/10860266231210610&lt;/a&gt;</t>
  </si>
  <si>
    <t>MORALES-RAYA M;MUÑNOZ P</t>
  </si>
  <si>
    <t>VARIETIES OF TIME IN BUSINESS SUSTAINABILITY RESEARCH: AN INTEGRATIVE REVIEW AND RESEARCH AGENDA</t>
  </si>
  <si>
    <t>MORALES-RAYA M, 2024, ORGAN ENVIRON</t>
  </si>
  <si>
    <t>&lt;a href="https://doi.org/10.4018/IJABIM.325651" target="_blank"&gt;10.4018/IJABIM.325651&lt;/a&gt;</t>
  </si>
  <si>
    <t>FACTORS AFFECTING THE USE OF BEST AVAILABLE TECHNIQUES AND THE IMPACT ON BUSINESS SUSTAINABILITY</t>
  </si>
  <si>
    <t>PHU G, 2023, INT J ASIAN BUS INF</t>
  </si>
  <si>
    <t>&lt;a href="https://doi.org/10.1088/1755-1315/672/1/012038" target="_blank"&gt;10.1088/1755-1315/672/1/012038&lt;/a&gt;</t>
  </si>
  <si>
    <t>SURYADI U;SUMADI S;SHOLEHULHUDA A</t>
  </si>
  <si>
    <t>STUDY OF THE BUSINESS SUSTAINABILITY OF SHEEP AS LEADING EXPORT COMMODITY IN JEMBER REGENCY</t>
  </si>
  <si>
    <t>SURYADI U, 2021, IOP CONF SER EARTH ENVIRON SCI</t>
  </si>
  <si>
    <t>&lt;a href="https://doi.org/10.1088/1755-1315/557/1/012024" target="_blank"&gt;10.1088/1755-1315/557/1/012024&lt;/a&gt;</t>
  </si>
  <si>
    <t>AKBARI D;GURNING R</t>
  </si>
  <si>
    <t>DEVELOPMENT OF RISK BASED BUSINESS CONTINUITY PLAN USING HOUSE OF RISK METHOD ON CONTAINER TERMINAL</t>
  </si>
  <si>
    <t>AKBARI D, 2020, IOP CONF SER EARTH ENVIRON SCI</t>
  </si>
  <si>
    <t>&lt;a href="https://doi.org/10.1051/matecconf/201822902001" target="_blank"&gt;10.1051/matecconf/201822902001&lt;/a&gt;</t>
  </si>
  <si>
    <t>THE BACKUP RECOVERY STRATEGY SELECTION TO MAINTAIN THE BUSINESS CONTINUITY PLAN</t>
  </si>
  <si>
    <t>FAISAL F, 2018, MATEC WEB CONF</t>
  </si>
  <si>
    <t>&lt;a href="https://doi.org/10.1051/matecconf/201822301015" target="_blank"&gt;10.1051/matecconf/201822301015&lt;/a&gt;</t>
  </si>
  <si>
    <t>SHAH S;SMITH J;COCHRAN D</t>
  </si>
  <si>
    <t>GUIDING MANUFACTURING ENTERPRISES TO ACHIEVE LONG-TERM BUSINESS SUSTAINABILITY USING THE COLLECTIVE SYSTEM DESIGN APPROACH</t>
  </si>
  <si>
    <t>SHAH S, 2018, MATEC WEB CONF</t>
  </si>
  <si>
    <t>&lt;a href="https://doi.org/10.4337/9781785367533" target="_blank"&gt;10.4337/9781785367533&lt;/a&gt;</t>
  </si>
  <si>
    <t>THE INTERPLAY BETWEEN CONTEXT AND FAMILY BUSINESS CONTINUITY IN DEVELOPING COUNTRIES</t>
  </si>
  <si>
    <t>SINDAMBIWE P, 2017, CONTEXTUALIZING ENTREP IN EMERG ECON AND DEV CTRIES</t>
  </si>
  <si>
    <t>&lt;a href="https://doi.org/10.3390/su16177503" target="_blank"&gt;10.3390/su16177503&lt;/a&gt;</t>
  </si>
  <si>
    <t>BOUDI A;ALSHAIKHMUBARAK A</t>
  </si>
  <si>
    <t>BUSINESS CONTINUITY AND SUSTAINABILITY IN GOVERNMENT ORGANISATIONS</t>
  </si>
  <si>
    <t>BOUDI A, 2024, SUSTAINABILITY-BASEL</t>
  </si>
  <si>
    <t>&lt;a href="https://doi.org/10.3390/su151813703" target="_blank"&gt;10.3390/su151813703&lt;/a&gt;</t>
  </si>
  <si>
    <t>EFFENDI S;SUKOHARSONO E;PURWANTI L</t>
  </si>
  <si>
    <t>BUILDING PARTNERSHIP OR COMPETITION: VILLAGE BUSINESS SUSTAINABILITY IN INDONESIA</t>
  </si>
  <si>
    <t>EFFENDI S, 2023, SUSTAINABILITY-BASEL</t>
  </si>
  <si>
    <t>&lt;a href="https://doi.org/10.1016/j.jbusres.2024.114949" target="_blank"&gt;10.1016/j.jbusres.2024.114949&lt;/a&gt;</t>
  </si>
  <si>
    <t>SYVARI M;TÄHTINEN J;NORDBERG-DAVIES S</t>
  </si>
  <si>
    <t>ENACTING 'TRUE BUSINESS SUSTAINABILITY' '- MARKET SHAPING FOR ENVIRONMENTAL IMPACT</t>
  </si>
  <si>
    <t>SYVARI M, 2025, J BUS RES</t>
  </si>
  <si>
    <t>&lt;a href="https://doi.org/10.3390/math10030292" target="_blank"&gt;10.3390/math10030292&lt;/a&gt;</t>
  </si>
  <si>
    <t>MACAK T</t>
  </si>
  <si>
    <t>FINANCIAL STABILITY CONTROL FOR BUSINESS SUSTAINABILITY: A CASE STUDY FROM FOOD PRODUCTION</t>
  </si>
  <si>
    <t>MACAK T, 2022, MATHEMATICS-BASEL</t>
  </si>
  <si>
    <t>&lt;a href="https://doi.org/10.1155/2021/5580285" target="_blank"&gt;10.1155/2021/5580285&lt;/a&gt;</t>
  </si>
  <si>
    <t>YEH Y;YUAN Y;WU C</t>
  </si>
  <si>
    <t>ENHANCING BUSINESS SUSTAINABILITY AND COMPETITIVE ADVANTAGE BY USING A STRATEGIC MATHEMATICAL COMPUTING MODEL</t>
  </si>
  <si>
    <t>YEH Y, 2021, MATH PROBL ENG</t>
  </si>
  <si>
    <t>&lt;a href="https://doi.org/10.14710/jitaa.44.4.408-414" target="_blank"&gt;10.14710/jitaa.44.4.408-414&lt;/a&gt;</t>
  </si>
  <si>
    <t>SOFYAN A;SUPRIJATNA E;SANTOSA S;SETIADI A</t>
  </si>
  <si>
    <t>BUSINESS SUSTAINABILITY MODEL OF SMALLHOLDER LAYER FARMS IN KENDAL REGENCY, CENTRAL JAVA, INDONESIA</t>
  </si>
  <si>
    <t>SOFYAN A, 2019, J INDONES TROP ANIM</t>
  </si>
  <si>
    <t>&lt;a href="https://doi.org/10.1080/23311975.2024.2303789" target="_blank"&gt;10.1080/23311975.2024.2303789&lt;/a&gt;</t>
  </si>
  <si>
    <t>GHONIYAH N;AMILAHAQ F;HARTONO S</t>
  </si>
  <si>
    <t>BUSINESS SUSTAINABILITY PERFORMANCE THROUGH SUSTAINABILITY AWARENESS AND BUSINESS WORK ETHICS IN ISLAMIC INSTITUTIONS</t>
  </si>
  <si>
    <t>GHONIYAH N, 2024, COGENT BUS MANAG</t>
  </si>
  <si>
    <t>&lt;a href="https://doi.org/10.2147/RMHP.S448382" target="_blank"&gt;10.2147/RMHP.S448382&lt;/a&gt;</t>
  </si>
  <si>
    <t>YUN E;HAN J;KIM J;JUNG S;CHA J;YOO K;MIN S;YANG B</t>
  </si>
  <si>
    <t>ANALYZING KOREAN PUBLIC HEALTH CENTERS' INFECTIOUS DISEASE DISASTER RESPONSE EXPERIENCES WITH A FOCUS ON BUSINESS CONTINUITY</t>
  </si>
  <si>
    <t>YUN E, 2024, RISK MANAG HEALTHC P</t>
  </si>
  <si>
    <t>&lt;a href="https://doi.org/10.3390/su16208760" target="_blank"&gt;10.3390/su16208760&lt;/a&gt;</t>
  </si>
  <si>
    <t>ARSIC M;VUJKO A;KNEZEVIC M</t>
  </si>
  <si>
    <t>DEVELOPMENT PERSPECTIVES ON WELLNESS AND SPA TOURISM IN THE CONTEXT OF TOURISM BUSINESS SUSTAINABILITY</t>
  </si>
  <si>
    <t>ARSIC M, 2024, SUSTAINABILITY-BASEL</t>
  </si>
  <si>
    <t>&lt;a href="https://doi.org/10.3934/GF.2024003" target="_blank"&gt;10.3934/GF.2024003&lt;/a&gt;</t>
  </si>
  <si>
    <t>TAMMEKIVI O;METS T;RAUDSAAR M</t>
  </si>
  <si>
    <t>THE CORPORATE ENTREPRENEURIAL AND INNOVATION PROCESSES FOR BUSINESS SUSTAINABILITY: A CRITICAL OVERVIEW AND CONCEPTUAL PROCESS MODEL DEVELOPMENT</t>
  </si>
  <si>
    <t>TAMMEKIVI O, 2024, GREEN FINANC</t>
  </si>
  <si>
    <t>&lt;a href="https://doi.org/10.17533/udea.rc.n80a04" target="_blank"&gt;10.17533/udea.rc.n80a04&lt;/a&gt;</t>
  </si>
  <si>
    <t>DORIA D;HERNÁNDEZ A;OCHOA E</t>
  </si>
  <si>
    <t>BUSINESS SUSTAINABILITY FROM THE PERSPECTIVE OF PROFESSIONAL ETHICS: EMPIRICAL EVIDENCE OF SANCTIONS TO ACCOUNTING PROFESSIONALS IN COLOMBIA, NEW YORK AND FRANCE</t>
  </si>
  <si>
    <t>DORIA D, 2022, CONTAD U ANTIOQUIA</t>
  </si>
  <si>
    <t>&lt;a href="https://doi.org/10.3390/su16208876" target="_blank"&gt;10.3390/su16208876&lt;/a&gt;</t>
  </si>
  <si>
    <t>DAGLI E;GECIKLI R;TURAN O;ORGUN E;UNAL A;BAYRAM F;ISIN A;YAYLA O</t>
  </si>
  <si>
    <t>IS BUSINESS SUSTAINABILITY POSSIBLE? THE MODERATING ROLE OF PLACE OF WORK IN THE RELATIONSHIP BETWEEN HOTEL SAFETY CULTURE, JOB SATISFACTION, ORGANIZATIONAL COMMITMENT AND CUSTOMER-ORIENTED BEHAVIOR: A CROSS-REGIONAL STUDY</t>
  </si>
  <si>
    <t>DAGLI E, 2024, SUSTAINABILITY-BASEL</t>
  </si>
  <si>
    <t>&lt;a href="https://doi.org/10.18267/j.polek.1044" target="_blank"&gt;10.18267/j.polek.1044&lt;/a&gt;</t>
  </si>
  <si>
    <t>NENADÁL J</t>
  </si>
  <si>
    <t>ADAPTIVE ORGANIZATION. INSPIRATION FROM BATI TO JOBS ON THE WAY TO CORPORATE LONGEVITY</t>
  </si>
  <si>
    <t>NENADÁL J, 2015, POLIT EKON</t>
  </si>
  <si>
    <t>&lt;a href="https://doi.org/10.20965/jdr.2023.p0087" target="_blank"&gt;10.20965/jdr.2023.p0087&lt;/a&gt;</t>
  </si>
  <si>
    <t>KANNO T;KARIKAWA D;FUJINO H;ISHIDA C</t>
  </si>
  <si>
    <t>MINI SPECIAL ISSUE ON MODELING OF HUMAN-POLICY-TECHNOLOGY NEXUS AND SIMULATION FOR DISASTER RESPONSE AND BUSINESS CONTINUITY</t>
  </si>
  <si>
    <t>KANNO T, 2023, J DISASTER RES-a</t>
  </si>
  <si>
    <t>&lt;a href="https://doi.org/10.3390/su15075992" target="_blank"&gt;10.3390/su15075992&lt;/a&gt;</t>
  </si>
  <si>
    <t>ZEMLYAK S;NAUMENKOV A;KHROMENKOVA G</t>
  </si>
  <si>
    <t>MEASURING THE ENTREPRENEURIAL MINDSET: THE MOTIVATIONS BEHIND THE BEHAVIORAL INTENTIONS OF STARTING A SUSTAINABLE BUSINESS. SUSTAINABILITY (VOL 14, 15997, 2022)</t>
  </si>
  <si>
    <t>ZEMLYAK S, 2023, SUSTAINABILITY-BASEL</t>
  </si>
  <si>
    <t>&lt;a href="https://doi.org/10.1007/s10479-024-06181-4" target="_blank"&gt;10.1007/s10479-024-06181-4&lt;/a&gt;</t>
  </si>
  <si>
    <t>DIVYASHREE S;JOSHUA C;QUADIR M;MOHAN S;ABDULLAH A;MOHAMAD U;INNAB N;AHMADIAN A</t>
  </si>
  <si>
    <t>ENABLING BUSINESS SUSTAINABILITY FOR STOCK MARKET DATA USING MACHINE LEARNING AND DEEP LEARNING APPROACHES (AUG, 10.1007/S10479-024-06118-X, 2024 )</t>
  </si>
  <si>
    <t>DIVYASHREE S, 2024, ANN OPER RES</t>
  </si>
  <si>
    <t>&lt;a href="https://doi.org/10.1539/sangyoeisei.2024-002-E" target="_blank"&gt;10.1539/sangyoeisei.2024-002-E&lt;/a&gt;</t>
  </si>
  <si>
    <t>MORIOKA I;TAKESHITA T;MIYASHITA K;FUJIYOSHI A;TANAKA T;IKUTA Z;HIRABAYASHI A</t>
  </si>
  <si>
    <t>BUSINESS CONTINUITY CAPABILITIES FOR DISASTER PREPAREDNESS: A COMPARATIVE STUDY OF DIFFERENT INDUSTRIES IN WAKAYAMA PREFECTURE</t>
  </si>
  <si>
    <t>MORIOKA I, 2024, SANGYO EISEIGAKU ZASSHI</t>
  </si>
  <si>
    <t>&lt;a href="https://doi.org/10.1051/e3sconf/202456303052" target="_blank"&gt;10.1051/e3sconf/202456303052&lt;/a&gt;</t>
  </si>
  <si>
    <t>AREMU F;OGUNNAIKE J;OLUWAKEMI O</t>
  </si>
  <si>
    <t>UNLOCKING BUSINESS SUSTAINABILITY: INVESTIGATING THE INFLUENCE OF HUMANIC CLUES IN NIGERIA'S ORGANIC AGRICULTURAL INDUSTRY</t>
  </si>
  <si>
    <t>AREMU F, 2024, E3S WEB CONF</t>
  </si>
  <si>
    <t>&lt;a href="https://doi.org/10.5194/piahs-386-165-2024" target="_blank"&gt;10.5194/piahs-386-165-2024&lt;/a&gt;</t>
  </si>
  <si>
    <t>NONAKA S;SUZUKI K;IWAMAE N;NOHARA D;YAMADA Y</t>
  </si>
  <si>
    <t>INVESTMENT DECISION SUPPORT FOR BUSINESS SUSTAINABILITY IMPROVEMENT BASED ON FLOOD INUNDATION SIMULATIONS WITH A VARIETY OF EXTREME RAINFALL SCENARIOS</t>
  </si>
  <si>
    <t>NONAKA S, 2024, PROC INTERNATIONAL ASSOCIATION HYDROL SCI</t>
  </si>
  <si>
    <t>&lt;a href="https://doi.org/10.24857/RGSA.V18N3-125" target="_blank"&gt;10.24857/RGSA.V18N3-125&lt;/a&gt;</t>
  </si>
  <si>
    <t>PRADNYAWATI S;WIDHIASTUTI N;DEWI K;ANI N;LESTARI N</t>
  </si>
  <si>
    <t>COSO-BASED CONTROL WITH THE BELIEF IN KARMAPHALA IN THE BUSINESS SUSTAINABILITY OF PEOPLE'S CREDIT INSTITUTIONS (LPD) [CONTROLE BASEADO EM COSO COM A CRENÇA EM KARMAPHALA NA SUSTENTABILIDADE DOS NEGÓCIOS DAS INSTITUIÇÕES DE CRÉDITO PESSOAL (LPD)] [CONTROL BASADO EN COSO CON LA CREENCIA EN KARMAPHALA EN LA SOSTENIBILIDAD EMPRESARIAL DE LAS ENTIDADES DE CRÉDITO DE LAS PERSONAS (LPD)]</t>
  </si>
  <si>
    <t>PRADNYAWATI S, 2024, REV GESTAO SOC AMBIENT</t>
  </si>
  <si>
    <t>&lt;a href="https://doi.org/10.56294/dm2024182" target="_blank"&gt;10.56294/dm2024182&lt;/a&gt;</t>
  </si>
  <si>
    <t>HUAPAYA-RUIZ R;MENESES-CLAUDIO B</t>
  </si>
  <si>
    <t>APPLICABLE METHODOLOGIES FOR BUSINESS CONTINUITY MANAGEMENT IN IT SERVICES: A SYSTEMATIC LITERATURE REVIEW [METODOLOGÍAS APLICABLES PARA LA GESTIÓN DE CONTINUIDAD DE NEGOCIO EN LOS SERVICIOS DE TI: UNA REVISIÓN SISTEMÁTICA DE LITERATURA]</t>
  </si>
  <si>
    <t>HUAPAYA-RUIZ R, 2024, DATA METADATA</t>
  </si>
  <si>
    <t>&lt;a href="https://doi.org/10.1051/e3sconf/202345101017" target="_blank"&gt;10.1051/e3sconf/202345101017&lt;/a&gt;</t>
  </si>
  <si>
    <t>TKACHENKO I;RAMENSKAYA L</t>
  </si>
  <si>
    <t>DISCLOSURE OF ESG BUSINESS SUSTAINABILITY COMPONENTS IN NON-FINANCIAL REPORTING OF COMPANIES: THE PROBLEM OF THE CHOSEN ONES?</t>
  </si>
  <si>
    <t>TKACHENKO I, 2023, E3S WEB CONF</t>
  </si>
  <si>
    <t>&lt;a href="https://doi.org/10.1051/e3sconf/202338803003" target="_blank"&gt;10.1051/e3sconf/202338803003&lt;/a&gt;</t>
  </si>
  <si>
    <t>DHARMONO S;PUTRA R;HERDINA A</t>
  </si>
  <si>
    <t>THE STUDY OF CUSTOMER SATISFACTION ON NATURAL SKINCARE PRODUCTS FOR MSME'S E-BUSINESS SUSTAINABILITY</t>
  </si>
  <si>
    <t>DHARMONO S, 2023, E3S WEB CONF</t>
  </si>
  <si>
    <t>&lt;a href="https://doi.org/10.1088/1755-1315/1195/1/012047" target="_blank"&gt;10.1088/1755-1315/1195/1/012047&lt;/a&gt;</t>
  </si>
  <si>
    <t>OKUNO I</t>
  </si>
  <si>
    <t>INTRODUCTION OF BUSINESS CONTINUITY PLAN FOR SMALL AND MEDIUM-SIZED LOCAL CONSTRUCTION COMPANIES AND RESTORATION ACTIVITIES IN JAPAN IN THE EVENT OF NATURAL DISASTERS</t>
  </si>
  <si>
    <t>OKUNO I, 2023, IOP CONF SER EARTH ENVIRON SCI</t>
  </si>
  <si>
    <t>&lt;a href="https://doi.org/10.1063/5.0108659" target="_blank"&gt;10.1063/5.0108659&lt;/a&gt;</t>
  </si>
  <si>
    <t>TIMASHEV S</t>
  </si>
  <si>
    <t>INFRANETICS – A NEW UMBRELLA MABICS-CONVERGING TECHNOLOGIES SCIENCE FOR INFRASTRUCTURES DESIGN, RESILIENCE AND BUSINESS CONTINUITY MANAGEMENT</t>
  </si>
  <si>
    <t>TIMASHEV S, 2022, AIP CONF PROC</t>
  </si>
  <si>
    <t>&lt;a href="https://doi.org/10.4018/978-1-6684-4503-7.ch020" target="_blank"&gt;10.4018/978-1-6684-4503-7.ch020&lt;/a&gt;</t>
  </si>
  <si>
    <t>NARULA S;KUMAR A;PUPPALA H;DWIVEDY M;PRAKASH S;SINGH R;TALWAR V</t>
  </si>
  <si>
    <t>RESTARTING MANUFACTURING INDUSTRIES POST COVID-19: A MIND MAP-BASED EMPIRICAL INVESTIGATION OF THE ASSOCIATED CHALLENGES IN BUSINESS CONTINUITY</t>
  </si>
  <si>
    <t>NARULA S, 2022, RES ANTHOL ON BUS CONTIN AND NAVIG TIMES OF CRISIS</t>
  </si>
  <si>
    <t>&lt;a href="https://doi.org/10.24251/hicss.2022.851" target="_blank"&gt;10.24251/hicss.2022.851&lt;/a&gt;</t>
  </si>
  <si>
    <t>SHANG R;KAUFFMAN R</t>
  </si>
  <si>
    <t>PARTNERING FOR VALUE PERFECTION AND BUSINESS SUSTAINABILITY IN THE CLOUD SERVICES BROKERAGE MARKET</t>
  </si>
  <si>
    <t>SHANG R, 2022, PROC ANNU HAWAII INT CONF SYST SCI</t>
  </si>
  <si>
    <t>&lt;a href="https://doi.org/10.1088/1755-1315/743/1/012073" target="_blank"&gt;10.1088/1755-1315/743/1/012073&lt;/a&gt;</t>
  </si>
  <si>
    <t>ANDRIANI D;A'YUNIN Q;UTAMI W;NELSON R</t>
  </si>
  <si>
    <t>DETERMINING STRATEGIC DECISIONS FOR LOCAL BUSINESS SUSTAINABILITY IN BROILER PARTNERSHIPS</t>
  </si>
  <si>
    <t>ANDRIANI D, 2021, IOP CONF SER EARTH ENVIRON SCI</t>
  </si>
  <si>
    <t>&lt;a href="https://doi.org/10.1088/1755-1315/718/1/012056" target="_blank"&gt;10.1088/1755-1315/718/1/012056&lt;/a&gt;</t>
  </si>
  <si>
    <t>HUDA H;FIRDAUS M;MIRA M;SURYAWATI S;SARI Y;KURNIAWAN T</t>
  </si>
  <si>
    <t>BUSINESS SUSTAINABILITY OF FISHERIES UTILIZATION IN PADANG</t>
  </si>
  <si>
    <t>HUDA H, 2021, IOP CONF SER EARTH ENVIRON SCI</t>
  </si>
  <si>
    <t>&lt;a href="https://doi.org/10.1088/1757-899X/879/1/012018" target="_blank"&gt;10.1088/1757-899X/879/1/012018&lt;/a&gt;</t>
  </si>
  <si>
    <t>PUTRA Y;WAHDINIWATY R</t>
  </si>
  <si>
    <t>STUDY OF RISK ASSESSMENT AND BUSINESS CONTINUITY MANAGEMENT OF ANALOG TO DIGITAL ARCHIVING PROCESS IN ORDER TO GUARANTEE RELIABLE SYSTEM</t>
  </si>
  <si>
    <t>PUTRA Y, 2020, IOP CONF SER MATER SCI ENG</t>
  </si>
  <si>
    <t>&lt;a href="https://doi.org/10.1088/1755-1315/113/1/012116" target="_blank"&gt;10.1088/1755-1315/113/1/012116&lt;/a&gt;</t>
  </si>
  <si>
    <t>WANG T;LIU Z;ZHOU L</t>
  </si>
  <si>
    <t>TOWARD A SPATIAL PERSPECTIVE ON BUSINESS SUSTAINABILITY: THE ROLE OF CENTRAL URBAN AND ENVIRONMENTALLY SENSITIVE AREAS IN ENERGY CORPORATES' GREEN BEHAVIOURS</t>
  </si>
  <si>
    <t>WANG T, 2018, IOP CONF SER EARTH ENVIRON SCI</t>
  </si>
  <si>
    <t>&lt;a href="https://doi.org/10.1007/978-3-319-50008-9_233" target="_blank"&gt;10.1007/978-3-319-50008-9_233&lt;/a&gt;</t>
  </si>
  <si>
    <t>SVENSSON G;WAGNER B</t>
  </si>
  <si>
    <t>A PROCESS AND MODEL OF BUSINESS SUSTAINABILITY: CASE STUDY</t>
  </si>
  <si>
    <t>SVENSSON G, 2017, DEV MARK SCI</t>
  </si>
  <si>
    <t>&lt;a href="https://doi.org/10.1007/978-3-319-45596-9_214" target="_blank"&gt;10.1007/978-3-319-45596-9_214&lt;/a&gt;</t>
  </si>
  <si>
    <t>SVENSSON G;HØGEVOLD N</t>
  </si>
  <si>
    <t>FRAMING BUSINESS SUSTAINABILITY EFFORTS THROUGH TIME</t>
  </si>
  <si>
    <t>SVENSSON G, 2017, DEV MARK SCI-a</t>
  </si>
  <si>
    <t>&lt;a href="https://doi.org/10.1201/9781315210469-193" target="_blank"&gt;10.1201/9781315210469-193&lt;/a&gt;</t>
  </si>
  <si>
    <t>INTERVAL-VALUED IMPORTANCE MEASURES FOR BUSINESS CONTINUITY MANAGEMENT</t>
  </si>
  <si>
    <t>ZENG Z, 2017, SAF RELIAB – THEORY APPL - PROC EUR SAF RELIAB CONF</t>
  </si>
  <si>
    <t>&lt;a href="https://doi.org/10.1057/9781137444516_13" target="_blank"&gt;10.1057/9781137444516_13&lt;/a&gt;</t>
  </si>
  <si>
    <t>LEPELEY M;PIZARRO O;MANDAKOVIC V</t>
  </si>
  <si>
    <t>WOMEN ENTREPRENEURS IN CHILE: THREE DECADES OF CHALLENGES AND LESSONS IN INNOVATION AND BUSINESS SUSTAINABILITY</t>
  </si>
  <si>
    <t>LEPELEY M, 2015, FEMALE ENTREP IN TRANSIT ECON: TRENDS AND CHALL</t>
  </si>
  <si>
    <t>&lt;a href="https://doi.org/10.1007/978-3-642-33442-9_11" target="_blank"&gt;10.1007/978-3-642-33442-9_11&lt;/a&gt;</t>
  </si>
  <si>
    <t>SOWE S;MCNAUGHTON M</t>
  </si>
  <si>
    <t>USING MULTIPLE CASE STUDIES TO ANALYSE OPEN SOURCE SOFTWARE BUSINESS SUSTAINABILITY IN SUB-SAHARAN AFRICA</t>
  </si>
  <si>
    <t>SOWE S, 2012, IFIP ADVANCES IN INFORMATION AND COMMUNICATION TECHNOLOGY</t>
  </si>
  <si>
    <t>Affiliation</t>
  </si>
  <si>
    <t>CHULALONGKORN UNIVERSITY</t>
  </si>
  <si>
    <t>TOHOKU UNIVERSITY</t>
  </si>
  <si>
    <t>NAGOYA INSTITUTE OF TECHNOLOGY</t>
  </si>
  <si>
    <t>BINA NUSANTARA UNIVERSITY</t>
  </si>
  <si>
    <t>COVENANT UNIVERSITY</t>
  </si>
  <si>
    <t>BUCHAREST UNIVERSITY OF ECONOMIC STUDIES</t>
  </si>
  <si>
    <t>UNIVERSITY OF TURKU</t>
  </si>
  <si>
    <t>BRAWIJAYA UNIVERSITY</t>
  </si>
  <si>
    <t>INDIAN INSTITUTE OF TECHNOLOGY SYSTEM (IIT SYSTEM)</t>
  </si>
  <si>
    <t>UNIVERSITAS NEGERI MALANG</t>
  </si>
  <si>
    <t>UNIVERSITI KEBANGSAAN MALAYSIA</t>
  </si>
  <si>
    <t>ALEXANDRU IOAN CUZA UNIVERSITY</t>
  </si>
  <si>
    <t>KEIO UNIVERSITY</t>
  </si>
  <si>
    <t>KING FAISAL UNIVERSITY</t>
  </si>
  <si>
    <t>KRISTIANIA UNIVERSITY COLLEGE</t>
  </si>
  <si>
    <t>KYUNG HEE UNIVERSITY</t>
  </si>
  <si>
    <t>NORTH WEST UNIVERSITY - SOUTH AFRICA</t>
  </si>
  <si>
    <t>UNIVERSIDAD DE LA SABANA</t>
  </si>
  <si>
    <t>UNIVERSIDAD NACIONAL DE COLOMBIA</t>
  </si>
  <si>
    <t>UNIVERSITY BOSOWA</t>
  </si>
  <si>
    <t>UNIVERSITY OF WUPPERTAL</t>
  </si>
  <si>
    <t>WASEDA UNIVERSITY</t>
  </si>
  <si>
    <t>AIRLANGGA UNIVERSITY</t>
  </si>
  <si>
    <t>BOGOR AGRICULTURAL UNIVERSITY</t>
  </si>
  <si>
    <t>BOLGATANGA TECHNICAL UNIVERSITY</t>
  </si>
  <si>
    <t>CZECH UNIVERSITY OF LIFE SCIENCES PRAGUE</t>
  </si>
  <si>
    <t>JIANGSU UNIVERSITY</t>
  </si>
  <si>
    <t>NIHON UNIV.</t>
  </si>
  <si>
    <t>POLYTECHNIC UNIVERSITY OF MILAN</t>
  </si>
  <si>
    <t>TELKOM UNIVERSITY</t>
  </si>
  <si>
    <t>UNIVERSITI MALAYSIA KELANTAN</t>
  </si>
  <si>
    <t>UNIVERSITI MALAYSIA TERENGGANU</t>
  </si>
  <si>
    <t>UNIVERSITI SAINS ISLAM MALAYSIA</t>
  </si>
  <si>
    <t>UNIVERSITI UTARA MALAYSIA</t>
  </si>
  <si>
    <t>UNIVERSITY COLLEGE LONDON</t>
  </si>
  <si>
    <t>UNIVERSITY OF LONDON</t>
  </si>
  <si>
    <t>UNIVERSITY OF TOKYO</t>
  </si>
  <si>
    <t>UNIVERSITY OF TRAS-OS-MONTES AND ALTO DOURO</t>
  </si>
  <si>
    <t>UNIVERSITY OF WESTERN MACEDONIA</t>
  </si>
  <si>
    <t>UNIVERSITY OF ZAGREB</t>
  </si>
  <si>
    <t>WARSAW UNIVERSITY OF TECHNOLOGY</t>
  </si>
  <si>
    <t>WROCLAW UNIVERSITY OF ECONOMICS AND BUSINESS</t>
  </si>
  <si>
    <t>CASE WESTERN RESERVE UNIVERSITY</t>
  </si>
  <si>
    <t>CHINESE CULTURE UNIVERSITY</t>
  </si>
  <si>
    <t>CITY UNIVERSITY OF HONG KONG</t>
  </si>
  <si>
    <t>EINDHOVEN UNIVERSITY OF TECHNOLOGY</t>
  </si>
  <si>
    <t>GRIFFITH UNIVERSITY</t>
  </si>
  <si>
    <t>IMAM ABDULRAHMAN BIN FAISAL UNIVERSITY</t>
  </si>
  <si>
    <t>INSTITUTO POLITECNICO DE SETUBAL</t>
  </si>
  <si>
    <t>INSTITUTO UNIVERSITARIO DE LISBOA</t>
  </si>
  <si>
    <t>INSTITUTO UNIVERSITÁRIO DE LISBOA (ISCTE-IUL)</t>
  </si>
  <si>
    <t>NANJING UNIVERSITY OF INFORMATION SCIENCE AND TECHNOLOGY</t>
  </si>
  <si>
    <t>NATIONAL TAIPEI UNIVERSITY</t>
  </si>
  <si>
    <t>PENNSYLVANIA COMMONWEALTH SYSTEM OF HIGHER EDUCATION (PCSHE)</t>
  </si>
  <si>
    <t>PLEKHANOV RUSSIAN UNIVERSITY OF ECONOMICS</t>
  </si>
  <si>
    <t>TECHNICAL UNIVERSITY KOSICE</t>
  </si>
  <si>
    <t>TECHNICAL UNIVERSITY LIBEREC</t>
  </si>
  <si>
    <t>THE BUCHAREST UNIVERSITY OF ECONOMIC STUDIES</t>
  </si>
  <si>
    <t>TOULOUSE UNIVERSITY</t>
  </si>
  <si>
    <t>TOYO UNIVERSITY</t>
  </si>
  <si>
    <t>UCSI UNIVERSITY</t>
  </si>
  <si>
    <t>UNIVERSIDADE ABERTA</t>
  </si>
  <si>
    <t>UNIVERSIDADE DE LISBOA</t>
  </si>
  <si>
    <t>UNIVERSIDADE DE VIGO</t>
  </si>
  <si>
    <t>UNIVERSITAS BINA NUSANTARA</t>
  </si>
  <si>
    <t>UNIVERSITAS ISLAM INDONESIA</t>
  </si>
  <si>
    <t>UNIVERSITAS NEGERI SEMARANG</t>
  </si>
  <si>
    <t>UNIVERSITE PARIS CITE</t>
  </si>
  <si>
    <t>UNIVERSITE PARIS SACLAY</t>
  </si>
  <si>
    <t>UNIVERSITI TEKNOLOGI MARA</t>
  </si>
  <si>
    <t>UNIVERSITY HOSPITALS OF CLEVELAND</t>
  </si>
  <si>
    <t>UNIVERSITY OF JYVASKYLA</t>
  </si>
  <si>
    <t>UNIVERSITY OF MEMPHIS</t>
  </si>
  <si>
    <t>UNIVERSITY OF OTTAWA</t>
  </si>
  <si>
    <t>UNIVERSITY OF STRATHCLYDE</t>
  </si>
  <si>
    <t>UNIVERSITY OF TENNESSEE KNOXVILLE</t>
  </si>
  <si>
    <t>UNIVERSITY OF TENNESSEE SYSTEM</t>
  </si>
  <si>
    <t>UNIVERSITY SYSTEM OF OHIO</t>
  </si>
  <si>
    <t>AKDENIZ UNIVERSITY</t>
  </si>
  <si>
    <t>AL-AHLIYYA AMMAN UNIVERSITY</t>
  </si>
  <si>
    <t>AL-BALQA APPLIED UNIVERSITY</t>
  </si>
  <si>
    <t>AL-HUSSEIN BIN TALAL UNIVERSITY</t>
  </si>
  <si>
    <t>AL-ZAYTOONAH UNIVERSITY OF JORDAN</t>
  </si>
  <si>
    <t>ARAB ACADEMY FOR SCIENCE TECHNOLOGY AND MARITIME TRANSPORT (AASTMT)</t>
  </si>
  <si>
    <t>ARAB ACADEMY FOR SCIENCE, TECHNOLOGY AND MARITIME TRANSPORT</t>
  </si>
  <si>
    <t>ASIAN DISASTER REDUCTION CENTER (ADRC)</t>
  </si>
  <si>
    <t>ASSOSA UNIV</t>
  </si>
  <si>
    <t>AUCKLAND UNIVERSITY OF TECHNOLOGY</t>
  </si>
  <si>
    <t>BML MUNJAL UNIVERSITY</t>
  </si>
  <si>
    <t>BOCCONI UNIVERSITY</t>
  </si>
  <si>
    <t>BRUNEL UNIVERSITY</t>
  </si>
  <si>
    <t>COLLEGE OF ENVIRONMENTAL ENGINEERING AND ARCHITECTURE</t>
  </si>
  <si>
    <t>DAFFODIL INTERNATIONAL UNIVERSITY</t>
  </si>
  <si>
    <t>DHURAKIJ PUNDIT UNIVERSITY</t>
  </si>
  <si>
    <t>DURHAM UNIVERSITY</t>
  </si>
  <si>
    <t>EC JRC ISPRA SITE</t>
  </si>
  <si>
    <t>EGYPTIAN KNOWLEDGE BANK (EKB)</t>
  </si>
  <si>
    <t>ELECTRICITE DE FRANCE (EDF)</t>
  </si>
  <si>
    <t>ERASMUS UNIVERSITY ROTTERDAM</t>
  </si>
  <si>
    <t>ERASMUS UNIVERSITY ROTTERDAM - EXCL ERASMUS MC</t>
  </si>
  <si>
    <t>EUROPEAN COMMISSION JOINT RESEARCH CENTRE</t>
  </si>
  <si>
    <t>FAHRENHEIT UNIVERSITIES</t>
  </si>
  <si>
    <t>FINANCIAL UNIVERSITY UNDER THE GOVERNMENT OF THE RUSSIAN FEDERATION</t>
  </si>
  <si>
    <t>GDANSK UNIVERSITY OF TECHNOLOGY</t>
  </si>
  <si>
    <t>GRADUATE SCHOOL OF ENGINEERING</t>
  </si>
  <si>
    <t>GRADUATE SCHOOL OF SOCIAL ENGINEERING</t>
  </si>
  <si>
    <t>HENAN INSTITUTE OF SCIENCE AND TECHNOLOGY</t>
  </si>
  <si>
    <t>HIGHER COLLEGES OF TECHNOLOGY</t>
  </si>
  <si>
    <t>HOHAI UNIVERSITY</t>
  </si>
  <si>
    <t>HONG KONG POLYTECHNIC UNIVERSITY</t>
  </si>
  <si>
    <t>HUAZHONG UNIVERSITY OF SCIENCE AND TECHNOLOGY</t>
  </si>
  <si>
    <t>INDIAN INSTITUTE OF MANAGEMENT</t>
  </si>
  <si>
    <t>INDIAN INSTITUTE OF TECHNOLOGY (INDIAN SCHOOL OF MINES) DHANBAD</t>
  </si>
  <si>
    <t>INESC TEC</t>
  </si>
  <si>
    <t>INSTITUTO POLITECNICO DA GUARDA</t>
  </si>
  <si>
    <t>INTERNATIONAL ISLAMIC UNIVERSITY MALAYSIA</t>
  </si>
  <si>
    <t>ISTITUTO NAZIONALE GEOFISICA E VULCANOLOGIA (INGV)</t>
  </si>
  <si>
    <t>JADARA UNIVERSITY</t>
  </si>
  <si>
    <t>JONKOPING UNIVERSITY</t>
  </si>
  <si>
    <t>KAGOSHIMA UNIVERSITY</t>
  </si>
  <si>
    <t>KING ABDULAZIZ UNIVERSITY</t>
  </si>
  <si>
    <t>KOGAKUIN UNIV.</t>
  </si>
  <si>
    <t>KYOTO UNIVERSITY</t>
  </si>
  <si>
    <t>LAPPEENRANTA-LAHTI UNIVERSITY OF TECHNOLOGY LUT</t>
  </si>
  <si>
    <t>LUND UNIVERSITY</t>
  </si>
  <si>
    <t>MAKERERE UNIVERSITY</t>
  </si>
  <si>
    <t>MAPUA UNIVERSITY</t>
  </si>
  <si>
    <t>MINES PARISTECH</t>
  </si>
  <si>
    <t>MINISTRY OF EDUCATION AND SCIENCE OF UKRAINE</t>
  </si>
  <si>
    <t>MIREA - RUSSIAN TECHNOLOGICAL UNIVERSITY</t>
  </si>
  <si>
    <t>MULTIMEDIA UNIVERSITY</t>
  </si>
  <si>
    <t>NAGOYA INSTITUTE OF TECHNOLOGY (NIT)</t>
  </si>
  <si>
    <t>NATIONAL CHUNG HSING UNIVERSITY</t>
  </si>
  <si>
    <t>NATIONAL TAIWAN UNIVERSITY OF SCIENCE AND TECHNOLOGY</t>
  </si>
  <si>
    <t>OCHANOMIZU UNIVERSITY</t>
  </si>
  <si>
    <t>PETROLEUM UNIVERSITY OF TECHNOLOGY</t>
  </si>
  <si>
    <t>POLITECNICO DI MILANO</t>
  </si>
  <si>
    <t>PRINCESS SUMAYA UNIVERSITY FOR TECHNOLOGY</t>
  </si>
  <si>
    <t>RESEARCH AND DEVELOPMENT INSTITUTE</t>
  </si>
  <si>
    <t>SHANDONG JIANZHU UNIVERSITY</t>
  </si>
  <si>
    <t>SHANDONG UNIVERSITY OF FINANCE AND ECONOMICS</t>
  </si>
  <si>
    <t>SHEFFIELD HALLAM UNIVERSITY</t>
  </si>
  <si>
    <t>SINGAPORE GENERAL HOSPITAL</t>
  </si>
  <si>
    <t>SINOP UNIVERSITY</t>
  </si>
  <si>
    <t>STANFORD UNIVERSITY</t>
  </si>
  <si>
    <t>SYMBIOSIS INTERNATIONAL UNIVERSITY</t>
  </si>
  <si>
    <t>TAYLOR'S UNIVERSITY</t>
  </si>
  <si>
    <t>TECHNICAL UNIVERSITY OF KENYA</t>
  </si>
  <si>
    <t>TOKUSHIMA UNIV.</t>
  </si>
  <si>
    <t>TOKYO UNIVERSITY OF SCIENCE</t>
  </si>
  <si>
    <t>UNIV BOSOWA</t>
  </si>
  <si>
    <t>UNIVERSIDAD ALBERTO HURTADO</t>
  </si>
  <si>
    <t>UNIVERSIDAD DE MALAGA</t>
  </si>
  <si>
    <t>UNIVERSIDAD DEL DESARROLLO</t>
  </si>
  <si>
    <t>UNIVERSIDAD NACIONAL AUTONOMA DE MEXICO</t>
  </si>
  <si>
    <t>UNIVERSIDAD NACIONAL OF COLOMBIA</t>
  </si>
  <si>
    <t>UNIVERSIDAD TECNOLÓGICA DEL PERÚ</t>
  </si>
  <si>
    <t>UNIVERSIDADE DO ALGARVE</t>
  </si>
  <si>
    <t>UNIVERSIDADE ESTADUAL DE CAMPINAS</t>
  </si>
  <si>
    <t>UNIVERSIDADE ESTADUAL DO RIO GRANDE DO SUL (UERGS)</t>
  </si>
  <si>
    <t>UNIVERSIDADE FEDERAL DA PARAIBA</t>
  </si>
  <si>
    <t>UNIVERSIDADE FEDERAL DE PERNAMBUCO</t>
  </si>
  <si>
    <t>UNIVERSIDADE NOVE DE JULHO</t>
  </si>
  <si>
    <t>UNIVERSITAS DIPONEGORO</t>
  </si>
  <si>
    <t>UNIVERSITAS MAHASARASWATI DENPASAR</t>
  </si>
  <si>
    <t>UNIVERSITAS MERCU BUANA</t>
  </si>
  <si>
    <t>UNIVERSITAS MUHAMMADIYAH SIDOARJO</t>
  </si>
  <si>
    <t>UNIVERSITAS NEGERI GORONTALO</t>
  </si>
  <si>
    <t>UNIVERSITAS NEGERI JAKARTA</t>
  </si>
  <si>
    <t>UNIVERSITAS PADJADJARAN</t>
  </si>
  <si>
    <t>UNIVERSITE PSL</t>
  </si>
  <si>
    <t>UNIVERSITI MALAYA</t>
  </si>
  <si>
    <t>UNIVERSITI MALAYSIA KELANTAN KAMPUS KOTA</t>
  </si>
  <si>
    <t>UNIVERSITI SAINS MALAYSIA</t>
  </si>
  <si>
    <t>UNIVERSITI SULTAN ZAINAL ABIDIN</t>
  </si>
  <si>
    <t>UNIVERSITI TENAGA NASIONAL</t>
  </si>
  <si>
    <t>UNIVERSITI UTARA MALAYSIAKEDAH</t>
  </si>
  <si>
    <t>UNIVERSITY COLLEGE COPENHAGEN</t>
  </si>
  <si>
    <t>UNIVERSITY OF BIRMINGHAM</t>
  </si>
  <si>
    <t>UNIVERSITY OF COPENHAGEN</t>
  </si>
  <si>
    <t>UNIVERSITY OF ECONOMICS BRATISLAVA</t>
  </si>
  <si>
    <t>UNIVERSITY OF HELSINKI</t>
  </si>
  <si>
    <t>UNIVERSITY OF INDONESIA</t>
  </si>
  <si>
    <t>UNIVERSITY OF JOHANNESBURG</t>
  </si>
  <si>
    <t>UNIVERSITY OF MUHAMMADIYAH</t>
  </si>
  <si>
    <t>UNIVERSITY OF NORTH FLORIDA</t>
  </si>
  <si>
    <t>UNIVERSITY OF NORTHUMBRIA</t>
  </si>
  <si>
    <t>UNIVERSITY OF OKLAHOMA</t>
  </si>
  <si>
    <t>UNIVERSITY OF PITTSBURGH</t>
  </si>
  <si>
    <t>UNIVERSITY OF PRESOV</t>
  </si>
  <si>
    <t>UNIVERSITY OF SARAJEVO</t>
  </si>
  <si>
    <t>UNIVERSITY OF TSUKUBA</t>
  </si>
  <si>
    <t>UNIVERSITY OF TWENTE</t>
  </si>
  <si>
    <t>UNIVERSITY OF WARSAW</t>
  </si>
  <si>
    <t>UNIVERSITY OF WORCESTER</t>
  </si>
  <si>
    <t>UNIVERSITY OF ZILINA</t>
  </si>
  <si>
    <t>UNIVERSITY OF ŽILINA</t>
  </si>
  <si>
    <t>URAL FEDERAL UNIVERSITY</t>
  </si>
  <si>
    <t>VELLORE INSTITUTE OF TECHNOLOGY (VIT)</t>
  </si>
  <si>
    <t>WESTERN WASHINGTON UNIVERSITY</t>
  </si>
  <si>
    <t>WROCLAW UNIVERSITY OF SCIENCE AND TECHNOLOGY</t>
  </si>
  <si>
    <t>1 DECEMBRIE 1918 UNIVERSITY ALBA IULIA</t>
  </si>
  <si>
    <t>AALBORG UNIVERSITY</t>
  </si>
  <si>
    <t>ABANT IZZET BAYSAL UNIVERSITY</t>
  </si>
  <si>
    <t>ABU DHABI UNIVERSITY</t>
  </si>
  <si>
    <t>ACADEMY OF THE MINISTRY OF INTERNAL AFFAIRS OF THE REPUBLIC OF UZBEKISTAN</t>
  </si>
  <si>
    <t>ADAMSON UNIVERSITY</t>
  </si>
  <si>
    <t>AGRIBUSINESS MANAGEMENT POSTGRADUATE STUDENTS</t>
  </si>
  <si>
    <t>AJLOUN NATIONAL UNIVERSITY</t>
  </si>
  <si>
    <t>AL AL-BAYT UNIVERSITY</t>
  </si>
  <si>
    <t>ALEXANDER DUBCEK UNIVERSITY TRENCIN</t>
  </si>
  <si>
    <t>ALLIANCE MANCHESTER BUSINESS SCHOOL</t>
  </si>
  <si>
    <t>ALMAAREFA UNIVERSITY</t>
  </si>
  <si>
    <t>AMERICAN UNIVERSITY OF MADABA</t>
  </si>
  <si>
    <t>AMITY UNIVERSITY</t>
  </si>
  <si>
    <t>ANDALAS UNIVERSITY</t>
  </si>
  <si>
    <t>APPLIED SCIENCE PRIVATE UNIVERSITY</t>
  </si>
  <si>
    <t>ARCADA UNIVERSITY OF APPLIED SCIENCES</t>
  </si>
  <si>
    <t>ARDHI UNIV</t>
  </si>
  <si>
    <t>ASIAN INSTITUTE OF TECHNOLOGY</t>
  </si>
  <si>
    <t>ASTON UNIVERSITY</t>
  </si>
  <si>
    <t>ATATURK UNIVERSITY</t>
  </si>
  <si>
    <t>AZERBAIJAN STATE UNIVERSITY OF ECONOMICS (UNEC)</t>
  </si>
  <si>
    <t>BABCOCK UNIVERSITY</t>
  </si>
  <si>
    <t>BANDUNG INSTITUTE OF TECHNOLOGY</t>
  </si>
  <si>
    <t>BANDUNG STATE POLYTECHNIC</t>
  </si>
  <si>
    <t>BATMAN UNIVERSITY</t>
  </si>
  <si>
    <t>BEDMINSTER</t>
  </si>
  <si>
    <t>BI NORWEGIAN BUSINESS SCHOOL</t>
  </si>
  <si>
    <t>BINARY UNIVERSITY OF MANAGEMENT AND ENTREPRENEURSHIP</t>
  </si>
  <si>
    <t>BOSTON UNIVERSITY</t>
  </si>
  <si>
    <t>CANADIAN BLOOD SERVICES</t>
  </si>
  <si>
    <t>CENTER FOR COASTAL AND MARINE DEVELOPMENT</t>
  </si>
  <si>
    <t>CENTER FOR WATER RESOURCES DEVELOPMENT</t>
  </si>
  <si>
    <t>CENTRUM-PONTIFICIA UNIVERSIDAD CATÓLICA DEL PERÚ</t>
  </si>
  <si>
    <t>CHANDIGARH UNIVERSITY</t>
  </si>
  <si>
    <t>CHAOYANG UNIVERSITY OF TECHNOLOGY</t>
  </si>
  <si>
    <t>CHIA NAN UNIVERSITY OF PHARMACY AND SCIENCE</t>
  </si>
  <si>
    <t>CHIBA INSTITUTE OF TECHNOLOGY</t>
  </si>
  <si>
    <t>CHINA UNIVERSITY OF POLITICAL SCIENCE AND LAW</t>
  </si>
  <si>
    <t>COPENHAGEN BUSINESS SCHOOL</t>
  </si>
  <si>
    <t>DALIAN MARITIME UNIVERSITY</t>
  </si>
  <si>
    <t>DE MONTFORT UNIVERSITY</t>
  </si>
  <si>
    <t>DEPARTMENT OF AGRIBUSNESS MANAGEMENT</t>
  </si>
  <si>
    <t>DEPARTMENT OF INFORMATION TECHNOLOGY</t>
  </si>
  <si>
    <t>DIPONEGORO UNIVERSITY</t>
  </si>
  <si>
    <t>DURHAM UNIVERSITY BUSINESS SCHOOL</t>
  </si>
  <si>
    <t>EBERHARD KARLS UNIVERSITY HOSPITAL</t>
  </si>
  <si>
    <t>EBERHARD KARLS UNIVERSITY OF TUBINGEN</t>
  </si>
  <si>
    <t>ENTREPRENEURSHIP DEPARTMENT BINUS BUSINESS SCHOOL UNDERGRADUATE PROGRAM</t>
  </si>
  <si>
    <t>ENVIRONMENTAL SYMBIOSIS AND ENERGY DEPT.</t>
  </si>
  <si>
    <t>ESIC</t>
  </si>
  <si>
    <t>ESIC BUSINESS AND MARKETING SCHOOL</t>
  </si>
  <si>
    <t>ESPECIALISTA EN AUDITORÍA Y LICENCIADA EN CONTADURÍA PÚBLICA. UNIVERSIDAD DEL ZULIA</t>
  </si>
  <si>
    <t>EUROPEAN UNIVERSITY OF MADRID</t>
  </si>
  <si>
    <t>FAC BUSINESS ECON AND ENTREPRENEURSHIP</t>
  </si>
  <si>
    <t>FAYOUM UNIVERSITY</t>
  </si>
  <si>
    <t>FEDERAL UNIVERSITY OF PARANÁ (UFPR)</t>
  </si>
  <si>
    <t>FEDERAL UNIVERSITY OF PERNAMBUCO (UFPE)</t>
  </si>
  <si>
    <t>FEDERAL UNIVERSITY OF SANTA CATARINA</t>
  </si>
  <si>
    <t>FEDERAL UNIVERSITY OF TECHNOLOGY</t>
  </si>
  <si>
    <t>FINANCIAL UNIV GOVT RUSSIAN FEDERAT</t>
  </si>
  <si>
    <t>FINNISH ENVIRONMENT INSTITUTE</t>
  </si>
  <si>
    <t>FORE SCHOOL OF MANAGEMENT</t>
  </si>
  <si>
    <t>FUCAPE BUSINESS SCHOOL</t>
  </si>
  <si>
    <t>FUKUI PREFECTURAL UNIVERSITY</t>
  </si>
  <si>
    <t>GENERAL INCORPORATED FOUNDATION DRI JAPAN</t>
  </si>
  <si>
    <t>GLOBAL ENVIRONMENT DEPARTMENT</t>
  </si>
  <si>
    <t>GLOBAL INSTITUTE FOR QUALITY EDUCATION</t>
  </si>
  <si>
    <t>GRADUATE SCHOOL OF WATER RESOURCES MANAGEMENT</t>
  </si>
  <si>
    <t>HALMSTAD UNIVERSITY</t>
  </si>
  <si>
    <t>HANKEN SCHOOL OF ECONOMICS</t>
  </si>
  <si>
    <t>HARBIN ENGINEERING UNIVERSITY</t>
  </si>
  <si>
    <t>HASHEMITE UNIVERSITY</t>
  </si>
  <si>
    <t>HELLENIC MEDITERRANEAN UNIVERSITY</t>
  </si>
  <si>
    <t>HELLENIC OPEN UNIVERSITY</t>
  </si>
  <si>
    <t>HIROSHIMA SHUDO UNIVERSITY</t>
  </si>
  <si>
    <t>HIROSHIMA UNIVERSITY</t>
  </si>
  <si>
    <t>HOCHSCHULE ANGEWANDTE WISSENSCHAFT HAMBURG</t>
  </si>
  <si>
    <t>HONG KONG SCIENCE AND TECHNOLOGY PARKS CORPORATION</t>
  </si>
  <si>
    <t>HUANGGANG NORMAL UNIVERSITY</t>
  </si>
  <si>
    <t>HUNGARIAN UNIVERSITY OF AGRICULTURE AND LIFE SCIENCES</t>
  </si>
  <si>
    <t>HUNTER NEW ENGLAND POPULATION HEALTH</t>
  </si>
  <si>
    <t>IBN ZOHR UNIVERSITY</t>
  </si>
  <si>
    <t>IE-SE-UNIVERSIDAD DE NAVARRA</t>
  </si>
  <si>
    <t>IIE'S VARSITY COLLEGE</t>
  </si>
  <si>
    <t>INDIAN INST MANAGEMENT LLM</t>
  </si>
  <si>
    <t>INDIAN INSTITUTE OF TECHNOLOGY (IIT) - KHARAGPUR</t>
  </si>
  <si>
    <t>INDIAN INSTITUTE OF TECHNOLOGY (IIT) - MADRAS</t>
  </si>
  <si>
    <t>INDIAN INSTITUTE OF TECHNOLOGY (IIT) - ROORKEE</t>
  </si>
  <si>
    <t>INDIAN INSTITUTE OF TECHNOLOGY (IIT) -MADRAS</t>
  </si>
  <si>
    <t>INFRASTRUCTURE UNIVERSITY KUALA LUMPUR (IUKL)</t>
  </si>
  <si>
    <t>INSTITUT SEPULUH NOPEMBER</t>
  </si>
  <si>
    <t>INSTITUT TEKNOLOGI BANDUNG</t>
  </si>
  <si>
    <t>INSTITUT TEKNOLOGI SEPULUH NOPEMBER</t>
  </si>
  <si>
    <t>INSTITUTE OF RESEARCH AND COMMUNITY SERVICES</t>
  </si>
  <si>
    <t>INSTITUTE OF TECHNOLOGY AND BUSINESS, CESKE BUDEJOVICE</t>
  </si>
  <si>
    <t>INSTITUTO DE TELECOMUNICACOES</t>
  </si>
  <si>
    <t>INSTITUTO POLITÉCNICO NACIONAL</t>
  </si>
  <si>
    <t>INSTYTUT ORGANIZACJI I ZARZĄDZANIA</t>
  </si>
  <si>
    <t>INTERNATIONAL PROFESSIONAL UNIVERSITY OF TECHNOLOGY IN TOKYO</t>
  </si>
  <si>
    <t>INTI INTERNATIONAL UNIVERSITY</t>
  </si>
  <si>
    <t>IPB UNIVERSITY</t>
  </si>
  <si>
    <t>IVAN FRANKO NATIONAL UNIVERSITY LVIV</t>
  </si>
  <si>
    <t>IZMIR KATIP CELEBI UNIVERSITY</t>
  </si>
  <si>
    <t>JAMES COOK UNIVERSITY</t>
  </si>
  <si>
    <t>JAPAN ECONOMIC RESEARCH INSTITUTE INC.</t>
  </si>
  <si>
    <t>JAPANESE PHYSICAL THERAPY ASSOCIATION</t>
  </si>
  <si>
    <t>JIANGSU PROV. COLLAB. INNOVATION CENTER OF WORLD WATER VALLEY AND WATER ECOLOGICAL CIVILIZATION</t>
  </si>
  <si>
    <t>JIANGSU UNIVERSITY OF TECHNOLOGY</t>
  </si>
  <si>
    <t>JÖNKÖPING INTERNATIONAL BUSINESS SCHOOL (JIBS)</t>
  </si>
  <si>
    <t>KAJIMA TECHNICAL RESEARCH INSTITUTE</t>
  </si>
  <si>
    <t>KAMPUS UNISSULA</t>
  </si>
  <si>
    <t>KANAZAWA INSTITUTE OF TECHNOLOGY</t>
  </si>
  <si>
    <t>KANSAS STATE UNIVERSITY</t>
  </si>
  <si>
    <t>KAPOSVAR UNIVERSITY</t>
  </si>
  <si>
    <t>KARLSRUHE INSTITUTE OF TECHNOLOGY (KIT)</t>
  </si>
  <si>
    <t>KAUNAS TECHNOLOGICAL UNIVERSITY</t>
  </si>
  <si>
    <t>KEDGE BUSINESS SCHOOL</t>
  </si>
  <si>
    <t>KONKUK UNIVERSITY</t>
  </si>
  <si>
    <t>KOREA AEROSPACE UNIVERSITY</t>
  </si>
  <si>
    <t>KOREA UNIVERSITY</t>
  </si>
  <si>
    <t>KROK UNIVERSITY</t>
  </si>
  <si>
    <t>KWANGWOON UNIVERSITY</t>
  </si>
  <si>
    <t>KYOTO INSTITUTE OF TECHNOLOGY</t>
  </si>
  <si>
    <t>LANCASTER UNIVERSITY</t>
  </si>
  <si>
    <t>LAWAMBIS UNIVERSITY</t>
  </si>
  <si>
    <t>LEBANESE AMERICAN UNIVERSITY</t>
  </si>
  <si>
    <t>LEEDS UNIVERSITY BUSINESS SCHOOL</t>
  </si>
  <si>
    <t>LEUPHANA UNIVERSITY LUNEBURG</t>
  </si>
  <si>
    <t>LONDON METROPOLITAN UNIVERSITY</t>
  </si>
  <si>
    <t>LUCIAN BLAGA UNIVERSITY OF SIBIU</t>
  </si>
  <si>
    <t>LUISS GUIDO CARLI UNIVERSITY</t>
  </si>
  <si>
    <t>LUSOFONA UNIVERSITY</t>
  </si>
  <si>
    <t>LUT UNIV</t>
  </si>
  <si>
    <t>MAASTRICHT UNIVERSITY</t>
  </si>
  <si>
    <t>MANAGEMENT SCIENCE AND SYSTEMS</t>
  </si>
  <si>
    <t>MANCHESTER METROPOLITAN UNIVERSITY</t>
  </si>
  <si>
    <t>MANIPAL ACADEMY OF HIGHER EDUCATION (MAHE)</t>
  </si>
  <si>
    <t>METROPOLITEN UNIV</t>
  </si>
  <si>
    <t>MICHIGAN STATE UNIVERSITY</t>
  </si>
  <si>
    <t>MINISTRY OF EDUCATION OF AZERBAIJAN REPUBLIC</t>
  </si>
  <si>
    <t>MINISTRY OF SCIENCE TECHNOLOGY AND INNOVATION (MOSTI)</t>
  </si>
  <si>
    <t>MINNESOTA BOARD OF ANIMAL HEALTH</t>
  </si>
  <si>
    <t>MINNESOTA DEPARTMENT OF AGRICULTURE</t>
  </si>
  <si>
    <t>MONTANA STATE UNIVERSITY BILLINGS</t>
  </si>
  <si>
    <t>MOUNTAIN TOP UNIVERSITY</t>
  </si>
  <si>
    <t>MULTIMEDIA NUSANTARA UNIVERSITY</t>
  </si>
  <si>
    <t>MURRAY STATE UNIVERSITY</t>
  </si>
  <si>
    <t>MUTAH UNIVERSITY</t>
  </si>
  <si>
    <t>NAGOYA UNIV.</t>
  </si>
  <si>
    <t>NAGOYA UNIVERSITY</t>
  </si>
  <si>
    <t>NARESUAN UNIVERSITY</t>
  </si>
  <si>
    <t>NARUTO UNIVERSITY</t>
  </si>
  <si>
    <t>NATIONAL AVIATION UNIVERSITY</t>
  </si>
  <si>
    <t>NATIONAL DISASTER MANAGEMENT INSTITUTE</t>
  </si>
  <si>
    <t>NATIONAL INSTITUTE OF TECHNOLOGY ROURKELA</t>
  </si>
  <si>
    <t>NATIONAL KAOHSIUNG UNIVERSITY OF SCIENCE AND TECHNOLOGY</t>
  </si>
  <si>
    <t>NATIONAL MARROW DONOR PROGRAM</t>
  </si>
  <si>
    <t>NATIONAL TAIWAN NORMAL UNIVERSITY</t>
  </si>
  <si>
    <t>NATIONAL TAIWAN OCEAN UNIVERSITY</t>
  </si>
  <si>
    <t>NATIONAL TECHNICAL UNIVERSITY OF ATHENS</t>
  </si>
  <si>
    <t>NATIONAL UNIVERSITY OF SCIENCE AND TECHNOLOGY</t>
  </si>
  <si>
    <t>NATIONAL UNIVERSITY OF SCIENCE AND TECHNOLOGY - ZIMBABWE</t>
  </si>
  <si>
    <t>NATIONAL YANG MING CHIAO TUNG UNIVERSITY</t>
  </si>
  <si>
    <t>NEWCASTLE UNIVERSITY - UK</t>
  </si>
  <si>
    <t>NIIGATA UNIVERSITY</t>
  </si>
  <si>
    <t>NORTHEAST AGRICULTURAL UNIVERSITY - CHINA</t>
  </si>
  <si>
    <t>NOTREPORTED</t>
  </si>
  <si>
    <t>NYENRODE BUSINESS UNIVERSITEIT</t>
  </si>
  <si>
    <t>OKAN UNIVERSITY</t>
  </si>
  <si>
    <t>ONE PRESERVE PKWY</t>
  </si>
  <si>
    <t>OPEN UNIVERSITY - UK</t>
  </si>
  <si>
    <t>OSLO SCHOOL OF MANAGEMENT</t>
  </si>
  <si>
    <t>PALESTINE TECHNICAL UNIVERSITY - KADOORIE</t>
  </si>
  <si>
    <t>PARTNERS HEALTHCARE SYSTEM</t>
  </si>
  <si>
    <t>PENNSYLVANIA STATE UNIVERSITY</t>
  </si>
  <si>
    <t>PETRA CHRISTIAN UNIVERSITY</t>
  </si>
  <si>
    <t>POLITECHNIKA WARSZAWSKA</t>
  </si>
  <si>
    <t>POSTGRADUATE UNIVERSITAS NEGERI SEMARANG</t>
  </si>
  <si>
    <t>PURDUE UNIVERSITY FORT WAYNE</t>
  </si>
  <si>
    <t>QASSIM UNIVERSITY</t>
  </si>
  <si>
    <t>QUEENSLAND UNIVERSITY OF TECHNOLOGY</t>
  </si>
  <si>
    <t>QUEENSLAND UNIVERSITY OF TECHNOLOGY (QUT)</t>
  </si>
  <si>
    <t>RAJAMANGALA UNIVERSITY OF TECHNOLOGY ISAN</t>
  </si>
  <si>
    <t>RANBIR SINGH STATE INST ENGN AND TECHNOL</t>
  </si>
  <si>
    <t>RESEARCH CENTER FOR MARINE AND FISHERIES SOCIO-ECONOMICS</t>
  </si>
  <si>
    <t>RIGA TECHNICAL UNIVERSITY</t>
  </si>
  <si>
    <t>RITSUMEIKAN UNIVERSITY</t>
  </si>
  <si>
    <t>ROSTOV STATE UNIVERSITY OF ECONOMICS</t>
  </si>
  <si>
    <t>RUSSIAN ACADEMY OF SCIENCES</t>
  </si>
  <si>
    <t>RUTGERS UNIVERSITY NEW BRUNSWICK</t>
  </si>
  <si>
    <t>RUTGERS UNIVERSITY NEWARK</t>
  </si>
  <si>
    <t>RUTGERS UNIVERSITY SYSTEM</t>
  </si>
  <si>
    <t>RYERSON UNIVERSITY</t>
  </si>
  <si>
    <t>SAP RESEARCH</t>
  </si>
  <si>
    <t>SAPIENZA UNIVERSITY ROME</t>
  </si>
  <si>
    <t>SCHOOL OF BUSINESS ADMINISTRATION</t>
  </si>
  <si>
    <t>SCHOOL OF BUSINESS AND MANAGEMENT</t>
  </si>
  <si>
    <t>SCHOOL OF KNOWLEDGE SCIENCE</t>
  </si>
  <si>
    <t>SCHOOL OF MANAGEMENT</t>
  </si>
  <si>
    <t>SCHOOL ON ENVIRONMENT AND SOCIETY</t>
  </si>
  <si>
    <t>SEJONG UNIVERSITY</t>
  </si>
  <si>
    <t>SEOUL BUSINESS SCH</t>
  </si>
  <si>
    <t>SEOUL NATIONAL UNIVERSITY OF SCIENCE AND TECHNOLOGY</t>
  </si>
  <si>
    <t>SEOUL SCH INTEGRATED SCI AND TECHNOL ASSIST</t>
  </si>
  <si>
    <t>SEPULUH NOPEMBER INSTITUTE OF TECHNOLOGY</t>
  </si>
  <si>
    <t>SHANGHAI OCEAN UNIVERSITY</t>
  </si>
  <si>
    <t>SHARDA UNIVERSITY</t>
  </si>
  <si>
    <t>SHENYANG AGRICULTURAL UNIVERSITY</t>
  </si>
  <si>
    <t>SHIBAURA INSTITUTE OF TECHNOLOGY</t>
  </si>
  <si>
    <t>SINGIDUNUM UNIV</t>
  </si>
  <si>
    <t>SKYLINE UNIVERSITY COLLEGE</t>
  </si>
  <si>
    <t>SOUTHERN CROSS UNIVERSITY</t>
  </si>
  <si>
    <t>SPIRU HARET UNIVERSITY</t>
  </si>
  <si>
    <t>STATE GRID SI JI WANG AN TECHNOLOGY (BEIJING) CO.</t>
  </si>
  <si>
    <t>STATE UNIVERSITY OF NEW YORK AT BUFFALO</t>
  </si>
  <si>
    <t>STATE UNIVERSITY SYSTEM OF FLORIDA</t>
  </si>
  <si>
    <t>STEFAN CEL MARE UNIVERSITY OF SUCEAVA</t>
  </si>
  <si>
    <t>STOCKHOLM SCHOOL OF ECONOMICS</t>
  </si>
  <si>
    <t>SUAN SUNANDHA RAJABHAT UNIVERSITY</t>
  </si>
  <si>
    <t>SUNY BUFFALO</t>
  </si>
  <si>
    <t>SUZHOU UNIVERSITY</t>
  </si>
  <si>
    <t>SWANSEA UNIVERSITY</t>
  </si>
  <si>
    <t>SWINBURNE UNIVERSITY OF TECHNOLOGY SARAWAK</t>
  </si>
  <si>
    <t>SYMBIOSIS CENTRE FOR INFORMATION TECHNOLOGY (SCIT)</t>
  </si>
  <si>
    <t>SYMBIOSIS INSTITUTE OF BUSINESS MANAGEMENT (SIBM) PUNE</t>
  </si>
  <si>
    <t>SYRACUSE UNIVERSITY</t>
  </si>
  <si>
    <t>TALLINN UNIVERSITY OF TECHNOLOGY</t>
  </si>
  <si>
    <t>TASHKENT INSTITUTE OF ECONOMICS AND PEDAGOGY</t>
  </si>
  <si>
    <t>TAYLOR’S UNIVERSITY</t>
  </si>
  <si>
    <t>TECHNISCHE UNIVERSITÄT DARMSTADT</t>
  </si>
  <si>
    <t>TEIKYO UNIVERSITY OF SCIENCE</t>
  </si>
  <si>
    <t>TEXAS AANDM UNIVERSITY</t>
  </si>
  <si>
    <t>THE RESILIENCE RESEARCH COUNCIL OF JAPAN</t>
  </si>
  <si>
    <t>THE ROYAL VICTORIAN EYE AND EAR HOSPITAL</t>
  </si>
  <si>
    <t>THE UNIVERSITY OF DERBY</t>
  </si>
  <si>
    <t>THE UNIVERSITY OF SYDNEYNSW</t>
  </si>
  <si>
    <t>THUONGMAI UNIVERSITY</t>
  </si>
  <si>
    <t>TITU MAIORESCU UNIVERSITY</t>
  </si>
  <si>
    <t>TOKUSHIMA UNIV</t>
  </si>
  <si>
    <t>TOKYO CITY UNIVERSITY</t>
  </si>
  <si>
    <t>TRANSPETROS NATIONAL OPERATIONAL CONTROL CENTER</t>
  </si>
  <si>
    <t>TRANSYLVANIA UNIVERSITY OF BRASOV</t>
  </si>
  <si>
    <t>TRILOGY UNIVERSITY</t>
  </si>
  <si>
    <t>TULANE UNIVERSITY</t>
  </si>
  <si>
    <t>TUNKU ABDUL RAHMAN UNIVERSITY OF TECHNOLOGY AND MANAGEMENT (TAR UMT)</t>
  </si>
  <si>
    <t>TURKU CENTRE FOR COMPUTER SCIENCES / UNIVERSITY OF TURKU</t>
  </si>
  <si>
    <t>U.S. ARMY CORPS OF ENGINEERS</t>
  </si>
  <si>
    <t>U.S. ARMY ENGINEER RESEARCH AND DEVELOPMENT CENTER (ERDC)</t>
  </si>
  <si>
    <t>UDAYANA UNIVERSITY</t>
  </si>
  <si>
    <t>UNITED NATIONS UNIVERSITY INSTITUTE OF ADVANCED STUDIES (UNU-IAS)</t>
  </si>
  <si>
    <t>UNITED STATES ARMY</t>
  </si>
  <si>
    <t>UNITED STATES DEPARTMENT OF AGRICULTURE (USDA)</t>
  </si>
  <si>
    <t>UNITED STATES DEPARTMENT OF DEFENSE</t>
  </si>
  <si>
    <t>UNIV AUTONOMA ESTADO MEXICO</t>
  </si>
  <si>
    <t>UNIV CIPUTRA</t>
  </si>
  <si>
    <t>UNIV CIPUTRA SURABAYA</t>
  </si>
  <si>
    <t>UNIV KATOL INDONESIA ATAMA JAYA JLN</t>
  </si>
  <si>
    <t>UNIV MEDITERRANEAN KARPASIA</t>
  </si>
  <si>
    <t>UNIVERSIDAD AUTONOMA DE AGUASCALIENTES</t>
  </si>
  <si>
    <t>UNIVERSIDAD AUTONOMA DE CHILE</t>
  </si>
  <si>
    <t>UNIVERSIDAD AUTÓNOMA DE AGUASCALIENTES</t>
  </si>
  <si>
    <t>UNIVERSIDAD AUTÓNOMA DE MANIZALES</t>
  </si>
  <si>
    <t>UNIVERSIDAD AUTÓNOMA DE QUERÉTARO</t>
  </si>
  <si>
    <t>UNIVERSIDAD AUTÓNOMA DE TLAXCALA</t>
  </si>
  <si>
    <t>UNIVERSIDAD BENITO JUÁREZ G. MAGÍSTER EN CIENCIAS DE LA EDUCACIÓN</t>
  </si>
  <si>
    <t>UNIVERSIDAD CATOLICA DEL NORTE</t>
  </si>
  <si>
    <t>UNIVERSIDAD CATÓLICA DE COLOMBIA</t>
  </si>
  <si>
    <t>UNIVERSIDAD CATÓLICA OF COLOMBIA</t>
  </si>
  <si>
    <t>UNIVERSIDAD CESAR VALLEJO</t>
  </si>
  <si>
    <t>UNIVERSIDAD COOPERATIVA DE COLOMBIA</t>
  </si>
  <si>
    <t>UNIVERSIDAD DE CADIZ</t>
  </si>
  <si>
    <t>UNIVERSIDAD DE CASTILLA-LA MANCHA</t>
  </si>
  <si>
    <t>UNIVERSIDAD DE MEDELLIN</t>
  </si>
  <si>
    <t>UNIVERSIDAD DR. RAFAEL BELLOSO CHACÍN. DOCTOR EN CIENCIAS</t>
  </si>
  <si>
    <t>UNIVERSIDAD FERMÍN TORO</t>
  </si>
  <si>
    <t>UNIVERSIDAD INDUSTRIAL DE SANTANDER</t>
  </si>
  <si>
    <t>UNIVERSIDAD NACIONAL DE TRUJILLO</t>
  </si>
  <si>
    <t>UNIVERSIDAD NACIONAL JOSÉ FAUSTINO SÁNCHEZ CARRIÓN</t>
  </si>
  <si>
    <t>UNIVERSIDAD POLITÉCNICA DE TLAXCALA</t>
  </si>
  <si>
    <t>UNIVERSIDAD PONTIFICIA BOLIVARIANA</t>
  </si>
  <si>
    <t>UNIVERSIDAD POPULAR AUTÓNOMA DEL ESTADO DE PUEBLA</t>
  </si>
  <si>
    <t>UNIVERSIDADE DE SAO PAULO</t>
  </si>
  <si>
    <t>UNIVERSIDADE DO ESTADO DO RIO DE JANEIRO</t>
  </si>
  <si>
    <t>UNIVERSIDADE DO PORTO</t>
  </si>
  <si>
    <t>UNIVERSIDADE DO SUL DE SANTA CATARINA</t>
  </si>
  <si>
    <t>UNIVERSIDADE FEDERAL DE SANTA CATARINA</t>
  </si>
  <si>
    <t>UNIVERSIDADE FEDERAL DE SANTA CATARINA (UFSC)</t>
  </si>
  <si>
    <t>UNIVERSIDADE FEDERAL DE SANTA MARIA (UFSM)</t>
  </si>
  <si>
    <t>UNIVERSIDADE FEDERAL FLUMINENSE</t>
  </si>
  <si>
    <t>UNIVERSIDADE LUSÓFONA</t>
  </si>
  <si>
    <t>UNIVERSIDADE PORTUCALENSE INFANTE D. HENRIQUE</t>
  </si>
  <si>
    <t>UNIVERSITA MEDITERRANEA DI REGGIO CALABRIA</t>
  </si>
  <si>
    <t>UNIVERSITAS DARUL ULUM ISLAMIC CENTER SUDIRMAN GUPPI</t>
  </si>
  <si>
    <t>UNIVERSITAS GADJAH MADA</t>
  </si>
  <si>
    <t>UNIVERSITAS KOMPUTER INDONESIA</t>
  </si>
  <si>
    <t>UNIVERSITAS MUHAMMADIYAH GRESIK</t>
  </si>
  <si>
    <t>UNIVERSITAS MUHAMMADIYAH MAKASSAR</t>
  </si>
  <si>
    <t>UNIVERSITAS MUHAMMADIYAH SINJAI</t>
  </si>
  <si>
    <t>UNIVERSITAS MUHAMMADIYAH YOGYAKARTA</t>
  </si>
  <si>
    <t>UNIVERSITAS MULAWARMAN</t>
  </si>
  <si>
    <t>UNIVERSITAS MUSLIM INDONESIA</t>
  </si>
  <si>
    <t>UNIVERSITAS NEGERI</t>
  </si>
  <si>
    <t>UNIVERSITAS NEGERI PADANG</t>
  </si>
  <si>
    <t>UNIVERSITAS PATRIA ARTHA</t>
  </si>
  <si>
    <t>UNIVERSITAS PRIMA INDONESIA</t>
  </si>
  <si>
    <t>UNIVERSITAS SURABAYA (UBAYA)</t>
  </si>
  <si>
    <t>UNIVERSITAS SWADAYA GUNUNG JATI</t>
  </si>
  <si>
    <t>UNIVERSITAS TADULAKO</t>
  </si>
  <si>
    <t>UNIVERSITAS TANJUNG PURA</t>
  </si>
  <si>
    <t>UNIVERSITAS TANJUNGPURA</t>
  </si>
  <si>
    <t>UNIVERSITAS TIDAR</t>
  </si>
  <si>
    <t>UNIVERSITAS UDAYANA</t>
  </si>
  <si>
    <t>UNIVERSITAT DE LES ILLES BALEARS</t>
  </si>
  <si>
    <t>UNIVERSITAT JAUME I</t>
  </si>
  <si>
    <t>UNIVERSITAT POLITECNICA DE VALENCIA</t>
  </si>
  <si>
    <t>UNIVERSITAT POLITÈCNICA DE VALÈNCIA</t>
  </si>
  <si>
    <t>UNIVERSITE PARIS-SACLAY</t>
  </si>
  <si>
    <t>UNIVERSITETET I STAVANGER</t>
  </si>
  <si>
    <t>UNIVERSITI MALAYSIA SABAH</t>
  </si>
  <si>
    <t>UNIVERSITI TEKNIKAL MALAYSIA MELAKA</t>
  </si>
  <si>
    <t>UNIVERSITI TEKNOLOGI MALAYSIA</t>
  </si>
  <si>
    <t>UNIVERSITI TEKNOLOGI MALAYSIA (UTM) JOHOR BAHRU</t>
  </si>
  <si>
    <t>UNIVERSITI TEKNOLOGI MARA SHAH ALAM</t>
  </si>
  <si>
    <t>UNIVERSITI TUNKU ABDUL RAHMAN (UTAR)</t>
  </si>
  <si>
    <t>UNIVERSITY HAXHI ZEKA / FACULTY OF BUSINESS</t>
  </si>
  <si>
    <t>UNIVERSITY OF AGDER</t>
  </si>
  <si>
    <t>UNIVERSITY OF ALICANTE</t>
  </si>
  <si>
    <t>UNIVERSITY OF ARKANSAS</t>
  </si>
  <si>
    <t>UNIVERSITY OF BELGRADE</t>
  </si>
  <si>
    <t>UNIVERSITY OF BERGAMO</t>
  </si>
  <si>
    <t>UNIVERSITY OF BORÅS</t>
  </si>
  <si>
    <t>UNIVERSITY OF BRADFORD</t>
  </si>
  <si>
    <t>UNIVERSITY OF BUDAPEST</t>
  </si>
  <si>
    <t>UNIVERSITY OF CALABRIA</t>
  </si>
  <si>
    <t>UNIVERSITY OF CONNECTICUT</t>
  </si>
  <si>
    <t>UNIVERSITY OF DUNDEE</t>
  </si>
  <si>
    <t>UNIVERSITY OF ENGINEERING AND TECHNOLOGY LAHORE</t>
  </si>
  <si>
    <t>UNIVERSITY OF ESSEX</t>
  </si>
  <si>
    <t>UNIVERSITY OF EXETER</t>
  </si>
  <si>
    <t>UNIVERSITY OF GHANA</t>
  </si>
  <si>
    <t>UNIVERSITY OF GLASGOW</t>
  </si>
  <si>
    <t>UNIVERSITY OF GOTHENBURG</t>
  </si>
  <si>
    <t>UNIVERSITY OF GREENWICH</t>
  </si>
  <si>
    <t>UNIVERSITY OF HEALTH SCIENCES TURKEY</t>
  </si>
  <si>
    <t>UNIVERSITY OF HUDDERSFIELD</t>
  </si>
  <si>
    <t>UNIVERSITY OF ICELAND</t>
  </si>
  <si>
    <t>UNIVERSITY OF JORDAN</t>
  </si>
  <si>
    <t>UNIVERSITY OF KWAZULU NATAL</t>
  </si>
  <si>
    <t>UNIVERSITY OF LEEDS</t>
  </si>
  <si>
    <t>UNIVERSITY OF LIMPOPO</t>
  </si>
  <si>
    <t>UNIVERSITY OF MALAYSIA SARAWAK</t>
  </si>
  <si>
    <t>UNIVERSITY OF MANCHESTER</t>
  </si>
  <si>
    <t>UNIVERSITY OF MARIBOR</t>
  </si>
  <si>
    <t>UNIVERSITY OF MASSACHUSETTS BOSTON</t>
  </si>
  <si>
    <t>UNIVERSITY OF MASSACHUSETTS SYSTEM</t>
  </si>
  <si>
    <t>UNIVERSITY OF MINHO</t>
  </si>
  <si>
    <t>UNIVERSITY OF MINNESOTA COLLEGE OF VETERINARY MEDICINE</t>
  </si>
  <si>
    <t>UNIVERSITY OF MINNESOTA SYSTEM</t>
  </si>
  <si>
    <t>UNIVERSITY OF MINNESOTA TWIN CITIES</t>
  </si>
  <si>
    <t>UNIVERSITY OF MORATUWA</t>
  </si>
  <si>
    <t>UNIVERSITY OF NICOSIA</t>
  </si>
  <si>
    <t>UNIVERSITY OF PERADENIYA</t>
  </si>
  <si>
    <t>UNIVERSITY OF QUEENSLAND</t>
  </si>
  <si>
    <t>UNIVERSITY OF READING</t>
  </si>
  <si>
    <t>UNIVERSITY OF RIJEKA</t>
  </si>
  <si>
    <t>UNIVERSITY OF SALENTO</t>
  </si>
  <si>
    <t>UNIVERSITY OF SALERNO</t>
  </si>
  <si>
    <t>UNIVERSITY OF SANNIO</t>
  </si>
  <si>
    <t>UNIVERSITY OF SANTO TOMAS</t>
  </si>
  <si>
    <t>UNIVERSITY OF SFAX</t>
  </si>
  <si>
    <t>UNIVERSITY OF SOUTH AFRICA</t>
  </si>
  <si>
    <t>UNIVERSITY OF SOUTH AUSTRALIA</t>
  </si>
  <si>
    <t>UNIVERSITY OF SULTAN AGENG TIRTAYASA</t>
  </si>
  <si>
    <t>UNIVERSITY OF SURREY</t>
  </si>
  <si>
    <t>UNIVERSITY OF SUSSEX</t>
  </si>
  <si>
    <t>UNIVERSITY OF SÃO PAULO (USP)</t>
  </si>
  <si>
    <t>UNIVERSITY OF TARTU</t>
  </si>
  <si>
    <t>UNIVERSITY OF TEHRAN</t>
  </si>
  <si>
    <t>UNIVERSITY OF THE SUNSHINE COAST</t>
  </si>
  <si>
    <t>UNIVERSITY OF THE WEST INDIES</t>
  </si>
  <si>
    <t>UNIVERSITY OF THE WEST OF ENGLAND</t>
  </si>
  <si>
    <t>UNIVERSITY OF TORINO</t>
  </si>
  <si>
    <t>UNIVERSITY OF TOULOUSE CENTRE GÉNIE INDUSTIEL</t>
  </si>
  <si>
    <t>UNIVERSITY OF TOULOUSE CERTOP LABORATORY</t>
  </si>
  <si>
    <t>UNIVERSITY OF TRÁS-OS-MONTES AND ALTO DOURO</t>
  </si>
  <si>
    <t>UNIVERSITY OF TURBAT</t>
  </si>
  <si>
    <t>UNIVERSITY OF VALENCIA</t>
  </si>
  <si>
    <t>UNIVERSITY OF VERONA</t>
  </si>
  <si>
    <t>UNIVERSITY OF WEST ATTICA</t>
  </si>
  <si>
    <t>UNIVERSITY OF WEST LONDON</t>
  </si>
  <si>
    <t>UNIVERSITY OF WESTERN AUSTRALIA</t>
  </si>
  <si>
    <t>UNIVERSITY OF WESTERN SYDNEY</t>
  </si>
  <si>
    <t>UNIVERSITY OF WYOMING</t>
  </si>
  <si>
    <t>UNIVERSITY PUTRA MALAYSIA</t>
  </si>
  <si>
    <t>UNIVERSITÀ POLITECNICA DELLE MARCHE</t>
  </si>
  <si>
    <t>UNIVERSITÉ DU LUXEMBOURG</t>
  </si>
  <si>
    <t>UNIVERSITÉ PARIS-SACLAY</t>
  </si>
  <si>
    <t>URAL STATE UNIVERSITY</t>
  </si>
  <si>
    <t>UT INSTITUTE OF AGRICULTURE</t>
  </si>
  <si>
    <t>UTRECHT UNIVERSITY</t>
  </si>
  <si>
    <t>VICTORIA UNIVERSITY WELLINGTON</t>
  </si>
  <si>
    <t>VIGO UNIVERSITY OF SPAIN</t>
  </si>
  <si>
    <t>VILNIUS UNIVERSITY</t>
  </si>
  <si>
    <t>VIT CHENNAI</t>
  </si>
  <si>
    <t>VIT VELLORE</t>
  </si>
  <si>
    <t>WAKAYAMA OCCUPATIONAL HEALTH SUPPORT CENTER</t>
  </si>
  <si>
    <t>WALAILAK UNIVERSITY</t>
  </si>
  <si>
    <t>WARSAW SCHOOL OF ECONOMICS</t>
  </si>
  <si>
    <t>WESTERN UNIVERSITY (UNIVERSITY OF WESTERN ONTARIO)</t>
  </si>
  <si>
    <t>XAVIER UNIVERSITY</t>
  </si>
  <si>
    <t>XIAMEN UNIVERSITY MALAYSIA CAMPUS</t>
  </si>
  <si>
    <t>YANAN UNIVERSITY</t>
  </si>
  <si>
    <t>YARMOUK UNIVERSITY</t>
  </si>
  <si>
    <t>YORK UNIVERSITY - CANADA</t>
  </si>
  <si>
    <t>YUNNAN NORMAL UNIVERSITY</t>
  </si>
  <si>
    <t>YUSUF MAITAMA SULE UNIVERSITY KANO</t>
  </si>
  <si>
    <t>ZEFAT ACAD COLL</t>
  </si>
  <si>
    <t>ZHEJIANG GONGSHANG UNIVERSITY</t>
  </si>
  <si>
    <t>Country</t>
  </si>
  <si>
    <t>Articles %</t>
  </si>
  <si>
    <t>SCP</t>
  </si>
  <si>
    <t>MCP</t>
  </si>
  <si>
    <t>MCP %</t>
  </si>
  <si>
    <t>INDONESIA</t>
  </si>
  <si>
    <t>JAPAN</t>
  </si>
  <si>
    <t>MALAYSIA</t>
  </si>
  <si>
    <t>CHINA</t>
  </si>
  <si>
    <t>UNITED KINGDOM</t>
  </si>
  <si>
    <t>USA</t>
  </si>
  <si>
    <t>PORTUGAL</t>
  </si>
  <si>
    <t>ITALY</t>
  </si>
  <si>
    <t>ROMANIA</t>
  </si>
  <si>
    <t>BRAZIL</t>
  </si>
  <si>
    <t>POLAND</t>
  </si>
  <si>
    <t>THAILAND</t>
  </si>
  <si>
    <t>COLOMBIA</t>
  </si>
  <si>
    <t>KOREA</t>
  </si>
  <si>
    <t>FINLAND</t>
  </si>
  <si>
    <t>INDIA</t>
  </si>
  <si>
    <t>SOUTH AFRICA</t>
  </si>
  <si>
    <t>SPAIN</t>
  </si>
  <si>
    <t>CZECH REPUBLIC</t>
  </si>
  <si>
    <t>JORDAN</t>
  </si>
  <si>
    <t>AUSTRALIA</t>
  </si>
  <si>
    <t>MEXICO</t>
  </si>
  <si>
    <t>SLOVAKIA</t>
  </si>
  <si>
    <t>GERMANY</t>
  </si>
  <si>
    <t>CANADA</t>
  </si>
  <si>
    <t>SAUDI ARABIA</t>
  </si>
  <si>
    <t>NIGERIA</t>
  </si>
  <si>
    <t>SWEDEN</t>
  </si>
  <si>
    <t>FRANCE</t>
  </si>
  <si>
    <t>CROATIA</t>
  </si>
  <si>
    <t>GREECE</t>
  </si>
  <si>
    <t>NETHERLANDS</t>
  </si>
  <si>
    <t>SERBIA</t>
  </si>
  <si>
    <t>UNITED ARAB EMIRATES</t>
  </si>
  <si>
    <t>NORWAY</t>
  </si>
  <si>
    <t>CHILE</t>
  </si>
  <si>
    <t>EGYPT</t>
  </si>
  <si>
    <t>HUNGARY</t>
  </si>
  <si>
    <t>NEW ZEALAND</t>
  </si>
  <si>
    <t>SINGAPORE</t>
  </si>
  <si>
    <t>UKRAINE</t>
  </si>
  <si>
    <t>DENMARK</t>
  </si>
  <si>
    <t>U ARAB EMIRATES</t>
  </si>
  <si>
    <t>IRAN</t>
  </si>
  <si>
    <t>BOSNIA</t>
  </si>
  <si>
    <t>ETHIOPIA</t>
  </si>
  <si>
    <t>GHANA</t>
  </si>
  <si>
    <t>HONG KONG</t>
  </si>
  <si>
    <t>ISRAEL</t>
  </si>
  <si>
    <t>KENYA</t>
  </si>
  <si>
    <t>LEBANON</t>
  </si>
  <si>
    <t>LITHUANIA</t>
  </si>
  <si>
    <t>MOROCCO</t>
  </si>
  <si>
    <t>PERU</t>
  </si>
  <si>
    <t>RUSSIA</t>
  </si>
  <si>
    <t>SLOVENIA</t>
  </si>
  <si>
    <t>TANZANIA</t>
  </si>
  <si>
    <t>TURKEY</t>
  </si>
  <si>
    <t>UGANDA</t>
  </si>
  <si>
    <t>VIETNAM</t>
  </si>
  <si>
    <t>ZIMBABWE</t>
  </si>
  <si>
    <t>BAHRAIN</t>
  </si>
  <si>
    <t>CYPRUS</t>
  </si>
  <si>
    <t>ESTONIA</t>
  </si>
  <si>
    <t>PHILIPPINES</t>
  </si>
  <si>
    <t>UZBEKISTAN</t>
  </si>
  <si>
    <t>Paper</t>
  </si>
  <si>
    <t>Total Citations</t>
  </si>
  <si>
    <t>TC per Year</t>
  </si>
  <si>
    <t>Normalized TC</t>
  </si>
  <si>
    <t>10.1177/1476127013520265</t>
  </si>
  <si>
    <t>10.1002/smj.625</t>
  </si>
  <si>
    <t>10.1016/j.ejor.2014.09.055</t>
  </si>
  <si>
    <t>10.1016/j.indmarman.2019.04.005</t>
  </si>
  <si>
    <t>10.3390/ijerph17217826</t>
  </si>
  <si>
    <t>10.1016/j.ijinfomgt.2019.04.010</t>
  </si>
  <si>
    <t>10.1016/j.bushor.2021.02.020</t>
  </si>
  <si>
    <t>10.1002/csr.1912</t>
  </si>
  <si>
    <t>10.1108/SCM-08-2019-0304</t>
  </si>
  <si>
    <t>10.3390/su10020452</t>
  </si>
  <si>
    <t>10.1016/j.jbusres.2021.06.005</t>
  </si>
  <si>
    <t>10.1108/09685220410553541</t>
  </si>
  <si>
    <t>10.3390/joitmc8010018</t>
  </si>
  <si>
    <t>10.1016/j.jclepro.2019.119670</t>
  </si>
  <si>
    <t>10.1108/JABES-11-2019-0113</t>
  </si>
  <si>
    <t>10.3390/su10010275</t>
  </si>
  <si>
    <t>10.1016/j.jbusres.2020.12.060</t>
  </si>
  <si>
    <t>10.1002/bse.2719</t>
  </si>
  <si>
    <t>10.3390/su12125067</t>
  </si>
  <si>
    <t>10.3390/su13158196</t>
  </si>
  <si>
    <t>10.3390/su10010246</t>
  </si>
  <si>
    <t>10.1080/00076791.2014.993613</t>
  </si>
  <si>
    <t>10.3390/su14095362</t>
  </si>
  <si>
    <t>10.1016/j.psep.2016.12.002</t>
  </si>
  <si>
    <t>10.1016/j.estger.2017.11.006</t>
  </si>
  <si>
    <t>10.1108/APJIE-07-2019-0059</t>
  </si>
  <si>
    <t>10.3390/su132212369</t>
  </si>
  <si>
    <t>10.1016/j.procs.2015.07.130</t>
  </si>
  <si>
    <t>10.3390/su12103998</t>
  </si>
  <si>
    <t>10.1057/jors.2010.69</t>
  </si>
  <si>
    <t>10.5267/j.ijdns.2021.6.006</t>
  </si>
  <si>
    <t>10.1177/1467358421993875</t>
  </si>
  <si>
    <t>10.3390/su12041545</t>
  </si>
  <si>
    <t>10.1016/j.ijpe.2021.108065</t>
  </si>
  <si>
    <t>10.1016/j.procs.2019.11.124</t>
  </si>
  <si>
    <t>10.1108/TQM-02-2020-0032</t>
  </si>
  <si>
    <t>10.3390/su14031326</t>
  </si>
  <si>
    <t>10.1016/j.promfg.2017.07.176</t>
  </si>
  <si>
    <t>10.1108/JBIM-05-2014-0094</t>
  </si>
  <si>
    <t>10.3390/ijerph20031851</t>
  </si>
  <si>
    <t>10.3390/su10072318</t>
  </si>
  <si>
    <t>10.17705/1cais.03704</t>
  </si>
  <si>
    <t>10.3846/jbem.2020.12205</t>
  </si>
  <si>
    <t>10.13106/jafeb.2019.vol6.no4.235</t>
  </si>
  <si>
    <t>10.2478/MMCKS-2018-0021</t>
  </si>
  <si>
    <t>10.1177/2158244017706712</t>
  </si>
  <si>
    <t>10.3390/su131810481</t>
  </si>
  <si>
    <t>10.1109/EMR.2020.3005506</t>
  </si>
  <si>
    <t>10.1108/JOEPP-01-2017-0002</t>
  </si>
  <si>
    <t>10.1177/030630701103700202</t>
  </si>
  <si>
    <t>10.2507/IJSIMM10(1)2.172</t>
  </si>
  <si>
    <t>10.3390/su132111971</t>
  </si>
  <si>
    <t>10.1504/IJBCRM.2020.105615</t>
  </si>
  <si>
    <t>10.1108/IJSHE-05-2017-0075</t>
  </si>
  <si>
    <t>10.1016/j.ssci.2021.105161</t>
  </si>
  <si>
    <t>10.1016/j.pdisas.2020.100117</t>
  </si>
  <si>
    <t>10.1016/j.jclepro.2023.136667</t>
  </si>
  <si>
    <t>10.3390/su13063177</t>
  </si>
  <si>
    <t>10.24818/EA/2020/55/692</t>
  </si>
  <si>
    <t>10.1007/s10796-008-9081-8</t>
  </si>
  <si>
    <t>10.3390/resources8040159</t>
  </si>
  <si>
    <t>10.3390/su9111964</t>
  </si>
  <si>
    <t>10.1016/j.indmarman.2013.10.004</t>
  </si>
  <si>
    <t>10.1071/AH080161</t>
  </si>
  <si>
    <t>10.1002/bse.3225</t>
  </si>
  <si>
    <t>10.20965/jdr.2015.p0204</t>
  </si>
  <si>
    <t>10.1108/02635570910926609</t>
  </si>
  <si>
    <t>10.3390/su12229780</t>
  </si>
  <si>
    <t>10.3390/su11184851</t>
  </si>
  <si>
    <t>10.1016/j.ress.2020.107067</t>
  </si>
  <si>
    <t>10.3390/asi3040051</t>
  </si>
  <si>
    <t>10.30892/gtg.38414-748</t>
  </si>
  <si>
    <t>10.3727/108354219X15511864843786</t>
  </si>
  <si>
    <t>10.3390/su12156026</t>
  </si>
  <si>
    <t>10.3390/su71115718</t>
  </si>
  <si>
    <t>10.3390/su11082236</t>
  </si>
  <si>
    <t>10.1016/j.procir.2021.01.147</t>
  </si>
  <si>
    <t>10.1016/j.trpro.2020.11.008</t>
  </si>
  <si>
    <t>10.20965/jdr.2020.p0546</t>
  </si>
  <si>
    <t>10.20965/jdr.2016.p0691</t>
  </si>
  <si>
    <t>10.1504/IJPM.2016.073385</t>
  </si>
  <si>
    <t>10.1109/ICIMP.2007.4</t>
  </si>
  <si>
    <t>10.1108/02656710210427566</t>
  </si>
  <si>
    <t>10.3390/su10040968</t>
  </si>
  <si>
    <t>10.1111/fcsr.12434</t>
  </si>
  <si>
    <t>10.1016/j.heliyon.2022.e12763</t>
  </si>
  <si>
    <t>10.1016/j.wds.2022.100039</t>
  </si>
  <si>
    <t>10.5937/fmet1504362V</t>
  </si>
  <si>
    <t>10.1109/TIC-STH.2009.5444515</t>
  </si>
  <si>
    <t>10.3390/su10124698</t>
  </si>
  <si>
    <t>10.1016/j.pdisas.2021.100181</t>
  </si>
  <si>
    <t>10.3390/su11030715</t>
  </si>
  <si>
    <t>10.3390/su13094975</t>
  </si>
  <si>
    <t>10.3390/su13137422</t>
  </si>
  <si>
    <t>10.20965/jdr.2020.p0588</t>
  </si>
  <si>
    <t>10.1088/1757-899X/298/1/012050</t>
  </si>
  <si>
    <t>10.1108/03068291111171397</t>
  </si>
  <si>
    <t>10.3390/su13031192</t>
  </si>
  <si>
    <t>10.1017/aae.2018.37</t>
  </si>
  <si>
    <t>10.1111/radm.12596</t>
  </si>
  <si>
    <t>10.1620/tjem.251.147</t>
  </si>
  <si>
    <t>10.3390/su132313091</t>
  </si>
  <si>
    <t>10.21511/ppm.21(1).2023.11</t>
  </si>
  <si>
    <t>10.1016/j.indic.2022.100187</t>
  </si>
  <si>
    <t>10.1109/BDIM.2008.4540071</t>
  </si>
  <si>
    <t>10.1016/j.ijdrr.2019.101334</t>
  </si>
  <si>
    <t>10.1177/02734753211048538</t>
  </si>
  <si>
    <t>10.1007/s11356-021-16683-4</t>
  </si>
  <si>
    <t>10.3390/math10214041</t>
  </si>
  <si>
    <t>10.1080/1331677X.2022.2125035</t>
  </si>
  <si>
    <t>10.1088/1755-1315/630/1/012016</t>
  </si>
  <si>
    <t>10.2106/JBJS.OA.20.00050</t>
  </si>
  <si>
    <t>10.20965/jdr.2017.p0806</t>
  </si>
  <si>
    <t>10.1016/j.proeng.2015.06.068</t>
  </si>
  <si>
    <t>10.1002/joe.20085</t>
  </si>
  <si>
    <t>10.1177/1177180121994680</t>
  </si>
  <si>
    <t>10.1302/2633-1462.16.BJO-2020-0036.R1</t>
  </si>
  <si>
    <t>10.3389/fpsyg.2022.942048</t>
  </si>
  <si>
    <t>10.3390/su11030582</t>
  </si>
  <si>
    <t>10.5430/ijhe.v9n6p118</t>
  </si>
  <si>
    <t>10.30924/mjcmi/2018.23.1.99</t>
  </si>
  <si>
    <t>10.1016/j.proeng.2016.06.390</t>
  </si>
  <si>
    <t>10.1155/2015/521289</t>
  </si>
  <si>
    <t>10.17221/321/2022-AGRICECON</t>
  </si>
  <si>
    <t>10.1177/2158244020927417</t>
  </si>
  <si>
    <t>10.1109/CAIS.2018.8442005</t>
  </si>
  <si>
    <t>10.5539/ass.v8n12p226</t>
  </si>
  <si>
    <t>10.1071/nb06035</t>
  </si>
  <si>
    <t>10.15240/tul/001/2016-1-012</t>
  </si>
  <si>
    <t>10.1177/08944865231154835</t>
  </si>
  <si>
    <t>10.3390/en15103610</t>
  </si>
  <si>
    <t>10.15678/EBER.2019.070309</t>
  </si>
  <si>
    <t>10.1016/j.ijdrr.2022.102863</t>
  </si>
  <si>
    <t>10.3390/su15032827</t>
  </si>
  <si>
    <t>10.1016/j.sftr.2022.100075</t>
  </si>
  <si>
    <t>10.1080/13683500.2019.1694494</t>
  </si>
  <si>
    <t>10.18280/ijsdp.170120</t>
  </si>
  <si>
    <t>10.32861/jssr.53.826.829</t>
  </si>
  <si>
    <t>10.1109/CAIPT.2017.8320736</t>
  </si>
  <si>
    <t>10.5755/j01.ee.22.1.216</t>
  </si>
  <si>
    <t>10.1007/978-3-642-15257-3_2</t>
  </si>
  <si>
    <t>10.1177/0021943609333525</t>
  </si>
  <si>
    <t>10.24857/rgsa.v16n2-013</t>
  </si>
  <si>
    <t>10.24818/EA/2019/S13/795</t>
  </si>
  <si>
    <t>10.4018/JGIM.20211101.oa8</t>
  </si>
  <si>
    <t>10.1007/s10278-013-9625-4</t>
  </si>
  <si>
    <t>10.18045/zbefri.2018.1.155</t>
  </si>
  <si>
    <t>10.3390/su15118588</t>
  </si>
  <si>
    <t>10.3926/jiem.3610</t>
  </si>
  <si>
    <t>10.1016/j.clscn.2021.100018</t>
  </si>
  <si>
    <t>10.1371/journal.pone.0295802</t>
  </si>
  <si>
    <t>10.1080/1331677X.2013.11517597</t>
  </si>
  <si>
    <t>10.1111/basr.12271</t>
  </si>
  <si>
    <t>10.1186/1472-6963-10-205</t>
  </si>
  <si>
    <t>10.5267/j.uscm.2021.11.001</t>
  </si>
  <si>
    <t>10.30534/ijeter/2020/0481.12020</t>
  </si>
  <si>
    <t>10.20965/jdr.2015.p0777</t>
  </si>
  <si>
    <t>10.11118/actaun201563031061</t>
  </si>
  <si>
    <t>10.1016/S1744-2117(08)04008-5</t>
  </si>
  <si>
    <t>10.1051/e3sconf/202127706009</t>
  </si>
  <si>
    <t>10.1002/prs.12302</t>
  </si>
  <si>
    <t>10.3390/info14020122</t>
  </si>
  <si>
    <t>10.3390/su12219172</t>
  </si>
  <si>
    <t>10.3390/su132111627</t>
  </si>
  <si>
    <t>10.1007/s13753-023-00494-x</t>
  </si>
  <si>
    <t>10.1007/s10278-012-9504-4</t>
  </si>
  <si>
    <t>10.20965/jdr.2022.p0853</t>
  </si>
  <si>
    <t>10.47836/pjssh.29.S2.16</t>
  </si>
  <si>
    <t>10.1111/disa.12551</t>
  </si>
  <si>
    <t>10.3390/su151612196</t>
  </si>
  <si>
    <t>10.1080/23311975.2022.2115621</t>
  </si>
  <si>
    <t>10.1016/j.jfbs.2022.100505</t>
  </si>
  <si>
    <t>10.1016/j.egyr.2021.05.026</t>
  </si>
  <si>
    <t>10.1002/bse.3560</t>
  </si>
  <si>
    <t>10.1177/21582440231221320</t>
  </si>
  <si>
    <t>10.1016/j.jclepro.2023.139016</t>
  </si>
  <si>
    <t>10.3390/su5020456</t>
  </si>
  <si>
    <t>10.3926/jiem.4152</t>
  </si>
  <si>
    <t>10.1016/j.ijdrr.2021.102511</t>
  </si>
  <si>
    <t>10.20397/2177-6652/2019.v19i2.1563</t>
  </si>
  <si>
    <t>10.1016/j.techfore.2022.122081</t>
  </si>
  <si>
    <t>10.33168/JSMS.2023.0118</t>
  </si>
  <si>
    <t>10.25046/AJ0506101</t>
  </si>
  <si>
    <t>10.1177/2379298119852313</t>
  </si>
  <si>
    <t>10.24251/hicss.2020.241</t>
  </si>
  <si>
    <t>10.1177/0256090919898909</t>
  </si>
  <si>
    <t>10.15446/dyna.v85n207.71209</t>
  </si>
  <si>
    <t>10.3141/2137-10</t>
  </si>
  <si>
    <t>10.1002/qre.1246</t>
  </si>
  <si>
    <t>10.9770/jesi.2021.8.4(22)</t>
  </si>
  <si>
    <t>10.17705/1jais.00771</t>
  </si>
  <si>
    <t>10.24874/IJQR13.04-10</t>
  </si>
  <si>
    <t>10.1002/bse.3493</t>
  </si>
  <si>
    <t>10.35784/pe.2021.2.05</t>
  </si>
  <si>
    <t>10.1080/19393555.2023.2195577</t>
  </si>
  <si>
    <t>10.20965/jdr.2022.p0923</t>
  </si>
  <si>
    <t>10.1108/APJML-12-2020-0911</t>
  </si>
  <si>
    <t>10.3390/su151612668</t>
  </si>
  <si>
    <t>10.5267/j.uscm.2023.8.008</t>
  </si>
  <si>
    <t>10.1504/IJEPEE.2023.129785</t>
  </si>
  <si>
    <t>10.1088/1755-1315/729/1/012049</t>
  </si>
  <si>
    <t>10.1016/j.ifacol.2021.08.136</t>
  </si>
  <si>
    <t>10.21511/ppm.19(3).2021.31</t>
  </si>
  <si>
    <t>10.20965/jdr.2021.p0031</t>
  </si>
  <si>
    <t>10.1051/e3sconf/202020803061</t>
  </si>
  <si>
    <t>10.37960/rvg.v25i3.33356</t>
  </si>
  <si>
    <t>10.1088/1757-899X/469/1/012015</t>
  </si>
  <si>
    <t>10.35808/ijeba/331</t>
  </si>
  <si>
    <t>10.3844/jcssp.2019.1133.1149</t>
  </si>
  <si>
    <t>10.15446/innovar.v28n70.74451</t>
  </si>
  <si>
    <t>10.20965/jdr.2017.p0688</t>
  </si>
  <si>
    <t>10.1515/jok-2016-0001</t>
  </si>
  <si>
    <t>10.1515/mmcks-2016-0009</t>
  </si>
  <si>
    <t>10.11113/jt.v78.10018</t>
  </si>
  <si>
    <t>10.1007/978-3-319-45507-5_11</t>
  </si>
  <si>
    <t>10.1515/jok-2015-0038</t>
  </si>
  <si>
    <t>10.2478/v10238-012-0031-x</t>
  </si>
  <si>
    <t>10.1080/23311975.2019.1699299</t>
  </si>
  <si>
    <t>10.1111/1468-5973.12501</t>
  </si>
  <si>
    <t>10.1109/ACCESS.2022.3190970</t>
  </si>
  <si>
    <t>10.14254/2071-789X.2019/12-4/10</t>
  </si>
  <si>
    <t>10.2298/CSIS190202037L</t>
  </si>
  <si>
    <t>10.18421/TEM111-13</t>
  </si>
  <si>
    <t>10.3390/su13010005</t>
  </si>
  <si>
    <t>10.1016/j.ijis.2023.05.002</t>
  </si>
  <si>
    <t>10.3390/su16135291</t>
  </si>
  <si>
    <t>10.1007/s11115-022-00687-w</t>
  </si>
  <si>
    <t>10.1080/23311975.2022.2152648</t>
  </si>
  <si>
    <t>10.15240/tul/001/2021-2-003</t>
  </si>
  <si>
    <t>10.1016/j.ajsl.2023.12.001</t>
  </si>
  <si>
    <t>10.3390/su14159507</t>
  </si>
  <si>
    <t>10.2478/eoik-2023-0052</t>
  </si>
  <si>
    <t>10.55908/sdgs.v11i4.520</t>
  </si>
  <si>
    <t>10.1088/1755-1315/978/1/012037</t>
  </si>
  <si>
    <t>10.18280/ijsse.120115</t>
  </si>
  <si>
    <t>10.1016/j.ifacol.2022.10.034</t>
  </si>
  <si>
    <t>10.37055/slw/145860</t>
  </si>
  <si>
    <t>10.1051/e3sconf/202020803034</t>
  </si>
  <si>
    <t>10.1088/1755-1315/330/2/022069</t>
  </si>
  <si>
    <t>10.4067/S0718-07642019000400103</t>
  </si>
  <si>
    <t>10.24867/IJIEM-2019-1-057</t>
  </si>
  <si>
    <t>10.1057/dddmp.2015.50</t>
  </si>
  <si>
    <t>10.1097/DMP.0b013e31819e6d8f</t>
  </si>
  <si>
    <t>10.3390/su131910918</t>
  </si>
  <si>
    <t>10.25100/cdea.v38i72.10835</t>
  </si>
  <si>
    <t>10.4067/S1726-569X2013000200004</t>
  </si>
  <si>
    <t>10.16967/23898186.719</t>
  </si>
  <si>
    <t>10.31577/ekoncas.2023.06-07.04</t>
  </si>
  <si>
    <t>10.3390/su151813531</t>
  </si>
  <si>
    <t>10.20965/jdr.2022.p0913</t>
  </si>
  <si>
    <t>10.24818/18423264/54.4.20.04</t>
  </si>
  <si>
    <t>10.37190/ord190406</t>
  </si>
  <si>
    <t>10.3390/su12208562</t>
  </si>
  <si>
    <t>10.20965/jdr.2023.p0513</t>
  </si>
  <si>
    <t>10.3390/su151612231</t>
  </si>
  <si>
    <t>10.1016/j.heliyon.2023.e15634</t>
  </si>
  <si>
    <t>10.1080/23322039.2024.2325834</t>
  </si>
  <si>
    <t>10.1002/bse.3767</t>
  </si>
  <si>
    <t>10.1016/j.heliyon.2022.e10566</t>
  </si>
  <si>
    <t>10.3390/su141711036</t>
  </si>
  <si>
    <t>10.3926/jiem.5283</t>
  </si>
  <si>
    <t>10.3390/risks12020019</t>
  </si>
  <si>
    <t>10.1016/j.rineng.2024.101863</t>
  </si>
  <si>
    <t>10.1371/journal.pone.0293582</t>
  </si>
  <si>
    <t>10.1108/IJSHE-10-2018-0181</t>
  </si>
  <si>
    <t>10.1177/21582440231217870</t>
  </si>
  <si>
    <t>10.3390/su12176867</t>
  </si>
  <si>
    <t>10.59953/paperasia.v40i2b.86</t>
  </si>
  <si>
    <t>10.18488/73.v12i3.3841</t>
  </si>
  <si>
    <t>10.1016/j.joitmc.2023.100153</t>
  </si>
  <si>
    <t>10.1051/e3sconf/202342602067</t>
  </si>
  <si>
    <t>10.37934/araset.31.1.334354</t>
  </si>
  <si>
    <t>10.18280/ijsdp.180534</t>
  </si>
  <si>
    <t>10.55951/NURTURE.V17I4.500</t>
  </si>
  <si>
    <t>10.31387/oscm0540394</t>
  </si>
  <si>
    <t>10.1088/1755-1315/1221/1/012036</t>
  </si>
  <si>
    <t>10.56294/SALUDCYT2023365</t>
  </si>
  <si>
    <t>10.3846/btp.2022.16657</t>
  </si>
  <si>
    <t>10.18280/ijsdp.170612</t>
  </si>
  <si>
    <t>10.5267/j.uscm.2021.8.011</t>
  </si>
  <si>
    <t>10.18488/journal.11.2019.84.196.214</t>
  </si>
  <si>
    <t>10.1109/ICITSI.2018.8696075</t>
  </si>
  <si>
    <t>10.1080/23311932.2018.1550907</t>
  </si>
  <si>
    <t>10.4324/9781351285360</t>
  </si>
  <si>
    <t>10.20965/jdr.2015.p1091</t>
  </si>
  <si>
    <t>10.9713/kcer.2014.52.6.743</t>
  </si>
  <si>
    <t>10.3130/aije.79.535</t>
  </si>
  <si>
    <t>10.4067/s1726-569x2013000200004</t>
  </si>
  <si>
    <t>10.3130/aijs.77.783</t>
  </si>
  <si>
    <t>10.3130/jaabe.8.259</t>
  </si>
  <si>
    <t>10.1109/EDOC.2006.20</t>
  </si>
  <si>
    <t>10.47750/QAS/22.185.07</t>
  </si>
  <si>
    <t>10.1111/risa.14098</t>
  </si>
  <si>
    <t>10.4018/JITR.299928</t>
  </si>
  <si>
    <t>10.4102/sajbm.v55i1.4274</t>
  </si>
  <si>
    <t>10.1080/23311975.2023.2218193</t>
  </si>
  <si>
    <t>10.1016/j.bbmt.2012.08.006</t>
  </si>
  <si>
    <t>10.1080/23750472.2023.2171903</t>
  </si>
  <si>
    <t>10.2478/sbe-2023-0055</t>
  </si>
  <si>
    <t>10.3390/su15075957</t>
  </si>
  <si>
    <t>10.3390/ijfs11030086</t>
  </si>
  <si>
    <t>10.4401/AG-8559</t>
  </si>
  <si>
    <t>10.3390/su15076005</t>
  </si>
  <si>
    <t>10.3390/su16104308</t>
  </si>
  <si>
    <t>10.12776/QIP.V26I2.1703</t>
  </si>
  <si>
    <t>10.47750/QAS/24.192.27</t>
  </si>
  <si>
    <t>10.1177/10860266231210610</t>
  </si>
  <si>
    <t>10.1109/ACCESS.2023.3337159</t>
  </si>
  <si>
    <t>10.4018/IJABIM.325651</t>
  </si>
  <si>
    <t>10.1080/23311975.2023.2235754</t>
  </si>
  <si>
    <t>10.1002/bse.3289</t>
  </si>
  <si>
    <t>10.47750/QAS/25.199.35</t>
  </si>
  <si>
    <t>10.17230/Ad-minister.41.2</t>
  </si>
  <si>
    <t>10.1080/23322039.2019.1622172</t>
  </si>
  <si>
    <t>10.1007/s13753-022-00412-7</t>
  </si>
  <si>
    <t>10.34659/eis.2022.80.1.422</t>
  </si>
  <si>
    <t>10.3390/ijerph17124263</t>
  </si>
  <si>
    <t>10.35530/IT.073.02.202056</t>
  </si>
  <si>
    <t>10.21833/ijaas.2024.01.007</t>
  </si>
  <si>
    <t>10.5937/sjm17-35505</t>
  </si>
  <si>
    <t>10.1108/MSAR-01-2023-0004</t>
  </si>
  <si>
    <t>10.3233/FAIA231235</t>
  </si>
  <si>
    <t>10.24857/rgsa.v18n3-124</t>
  </si>
  <si>
    <t>10.14453/aabfj.v18i2.05</t>
  </si>
  <si>
    <t>10.24874/PES.SI.02.016</t>
  </si>
  <si>
    <t>10.5220/0011837700003467</t>
  </si>
  <si>
    <t>10.26668/businessreview/2023.v8i3.659</t>
  </si>
  <si>
    <t>10.1016/j.ifacol.2022.09.407</t>
  </si>
  <si>
    <t>10.31705/WCS.2022.69</t>
  </si>
  <si>
    <t>10.37394/232015.2022.18.60</t>
  </si>
  <si>
    <t>10.35530//IT.073.02.202056</t>
  </si>
  <si>
    <t>10.47750/QAS/22.185.30</t>
  </si>
  <si>
    <t>10.1088/1755-1315/672/1/012038</t>
  </si>
  <si>
    <t>10.17159/2078-516X/2021/v33i1a9220</t>
  </si>
  <si>
    <t>10.1590/1678-6971/ERAMD210033</t>
  </si>
  <si>
    <t>10.3130/aije.86.590</t>
  </si>
  <si>
    <t>10.1088/1755-1315/557/1/012024</t>
  </si>
  <si>
    <t>10.35940/ijeat.F1110.0986S319</t>
  </si>
  <si>
    <t>10.1109/ICSRS.2018.8688845</t>
  </si>
  <si>
    <t>10.1504/IJSOM.2019.103571</t>
  </si>
  <si>
    <t>10.1051/matecconf/201822902001</t>
  </si>
  <si>
    <t>10.1051/matecconf/201822301015</t>
  </si>
  <si>
    <t>10.11159/mmme18.108</t>
  </si>
  <si>
    <t>10.14419/ijet.v7i4.35.23074</t>
  </si>
  <si>
    <t>10.24857/rgsa.v11i2.1260</t>
  </si>
  <si>
    <t>10.4337/9781785367533</t>
  </si>
  <si>
    <t>10.20965/jdr.2016.p0496</t>
  </si>
  <si>
    <t>10.1016/j.procs.2015.07.099</t>
  </si>
  <si>
    <t>10.20965/jdr.2014.p0752</t>
  </si>
  <si>
    <t>10.3130/aijt.19.363</t>
  </si>
  <si>
    <t>10.20965/jdr.2012.p0386</t>
  </si>
  <si>
    <t>10.3390/su16177503</t>
  </si>
  <si>
    <t>10.1111/1468-5973.12573</t>
  </si>
  <si>
    <t>10.7769/gesec.v14i3.1764</t>
  </si>
  <si>
    <t>10.3390/su151813703</t>
  </si>
  <si>
    <t>10.1016/j.jbusres.2024.114949</t>
  </si>
  <si>
    <t>#NUM!</t>
  </si>
  <si>
    <t>10.3390/ijfs12010001</t>
  </si>
  <si>
    <t>10.4102/jamba.v16i1.1714</t>
  </si>
  <si>
    <t>10.18421/TEM102-18</t>
  </si>
  <si>
    <t>10.20965/jdr.2023.p0124</t>
  </si>
  <si>
    <t>10.18137/cardiometry.2022.24.849858</t>
  </si>
  <si>
    <t>10.1017/S0260210524000500</t>
  </si>
  <si>
    <t>10.3390/su16187954</t>
  </si>
  <si>
    <t>10.3390/math10030292</t>
  </si>
  <si>
    <t>10.3390/logistics8020041</t>
  </si>
  <si>
    <t>10.1155/2021/5580285</t>
  </si>
  <si>
    <t>10.14710/jitaa.44.4.408-414</t>
  </si>
  <si>
    <t>10.1080/23311975.2024.2303789</t>
  </si>
  <si>
    <t>10.3389/frsc.2023.1091368</t>
  </si>
  <si>
    <t>10.1515/opag-2022-0216</t>
  </si>
  <si>
    <t>10.3390/app132111846</t>
  </si>
  <si>
    <t>10.2147/RMHP.S448382</t>
  </si>
  <si>
    <t>10.3390/su142215388</t>
  </si>
  <si>
    <t>10.20858/sjsutst.2024.124.10</t>
  </si>
  <si>
    <t>10.1186/s43093-024-00333-5</t>
  </si>
  <si>
    <t>10.3390/su16208760</t>
  </si>
  <si>
    <t>10.1111/1468-5973.12627</t>
  </si>
  <si>
    <t>10.15549/jeecar.v11i1.1383</t>
  </si>
  <si>
    <t>10.1002/csr.2966</t>
  </si>
  <si>
    <t>10.1007/s43621-024-00401-4</t>
  </si>
  <si>
    <t>10.3934/GF.2024021</t>
  </si>
  <si>
    <t>10.32910/ep.73.5.1</t>
  </si>
  <si>
    <t>10.21511/im.18(3).2022.11</t>
  </si>
  <si>
    <t>10.1080/23311975.2024.2414857</t>
  </si>
  <si>
    <t>10.21002/seam.v18i1.1457</t>
  </si>
  <si>
    <t>10.22478/ufpb.2318-1001.2022v10n3.58114</t>
  </si>
  <si>
    <t>10.3934/GF.2024003</t>
  </si>
  <si>
    <t>10.1016/j.sftr.2024.100263</t>
  </si>
  <si>
    <t>10.1111/jiec.13521</t>
  </si>
  <si>
    <t>10.3390/su16219201</t>
  </si>
  <si>
    <t>10.25112/rgd.v20i1.2975</t>
  </si>
  <si>
    <t>10.1080/23311886.2023.2275443</t>
  </si>
  <si>
    <t>10.2478/fiqf-2024-0009</t>
  </si>
  <si>
    <t>10.17533/udea.rc.n80a04</t>
  </si>
  <si>
    <t>10.33053/gedecon.v9i1.405</t>
  </si>
  <si>
    <t>10.3926/ic.2456</t>
  </si>
  <si>
    <t>10.20965/jdr.2023.p0137</t>
  </si>
  <si>
    <t>10.3390/su16208876</t>
  </si>
  <si>
    <t>10.18267/j.polek.1044</t>
  </si>
  <si>
    <t>10.20965/jdr.2023.p0087</t>
  </si>
  <si>
    <t>10.3390/su15075992</t>
  </si>
  <si>
    <t>10.1007/s10479-024-06181-4</t>
  </si>
  <si>
    <t>10.3846/btp.2024.19970</t>
  </si>
  <si>
    <t>10.1539/sangyoeisei.2024-002-E</t>
  </si>
  <si>
    <t>10.1051/e3sconf/202456303052</t>
  </si>
  <si>
    <t>10.2478/eoik-2024-0024</t>
  </si>
  <si>
    <t>10.18488/11.v13i3.3837</t>
  </si>
  <si>
    <t>10.26437/ajar.v10i1.708</t>
  </si>
  <si>
    <t>10.52080/rvgluz.29.107.24</t>
  </si>
  <si>
    <t>10.3130/aijt.30.873</t>
  </si>
  <si>
    <t>10.1016/j.joitmc.2024.100304</t>
  </si>
  <si>
    <t>10.5194/piahs-386-165-2024</t>
  </si>
  <si>
    <t>10.15676/ijeei.2024.16.1.3</t>
  </si>
  <si>
    <t>10.3849/cndcgs.2024.326</t>
  </si>
  <si>
    <t>10.18488/73.v12i3.3882</t>
  </si>
  <si>
    <t>10.48009/4_iis_2024_109</t>
  </si>
  <si>
    <t>10.24294/jipd.v8i10.6643</t>
  </si>
  <si>
    <t>10.55214/25768484.v8i4.1160</t>
  </si>
  <si>
    <t>10.24294/jipd.v8i6.3947</t>
  </si>
  <si>
    <t>10.24857/RGSA.V18N3-125</t>
  </si>
  <si>
    <t>10.24857/rgsa.v18n9-087</t>
  </si>
  <si>
    <t>10.1016/j.procs.2024.03.053</t>
  </si>
  <si>
    <t>10.1088/1755-1315/1324/1/012068</t>
  </si>
  <si>
    <t>10.55493/5003.v14i1.4993</t>
  </si>
  <si>
    <t>10.56294/dm2024182</t>
  </si>
  <si>
    <t>10.33168/JSMS.2024.0101</t>
  </si>
  <si>
    <t>10.1051/e3sconf/202345101017</t>
  </si>
  <si>
    <t>10.17708/DRMJ.2023.V12N02A08</t>
  </si>
  <si>
    <t>10.3130/aijt.29.1215</t>
  </si>
  <si>
    <t>10.1051/e3sconf/202338803003</t>
  </si>
  <si>
    <t>10.3130/AIJT.29.435</t>
  </si>
  <si>
    <t>10.53703/001c.94168</t>
  </si>
  <si>
    <t>10.1016/j.procs.2023.10.105</t>
  </si>
  <si>
    <t>10.1088/1755-1315/1264/1/012001</t>
  </si>
  <si>
    <t>10.1088/1755-1315/1195/1/012047</t>
  </si>
  <si>
    <t>10.33168/JSMS.2023.0228</t>
  </si>
  <si>
    <t>10.1063/5.0108659</t>
  </si>
  <si>
    <t>10.4018/978-1-6684-4503-7.ch020</t>
  </si>
  <si>
    <t>10.24251/hicss.2022.851</t>
  </si>
  <si>
    <t>10.1016/j.ifacol.2022.10.036</t>
  </si>
  <si>
    <t>10.1109/SMC53654.2022.9945437</t>
  </si>
  <si>
    <t>10.1088/1755-1315/1065/1/012053</t>
  </si>
  <si>
    <t>10.1088/1755-1315/743/1/012073</t>
  </si>
  <si>
    <t>10.1088/1755-1315/718/1/012056</t>
  </si>
  <si>
    <t>10.1589/rika.36.657</t>
  </si>
  <si>
    <t>10.1088/1757-899X/879/1/012018</t>
  </si>
  <si>
    <t>10.37960/REVISTA.V24I2.31499</t>
  </si>
  <si>
    <t>10.1057/s41266-017-0021-7</t>
  </si>
  <si>
    <t>10.1088/1755-1315/113/1/012116</t>
  </si>
  <si>
    <t>10.32861/jssr.412.761.768</t>
  </si>
  <si>
    <t>10.1007/978-3-319-50008-9_233</t>
  </si>
  <si>
    <t>10.1007/978-3-319-45596-9_214</t>
  </si>
  <si>
    <t>10.1201/9781315210469-193</t>
  </si>
  <si>
    <t>10.1057/9781137444516_13</t>
  </si>
  <si>
    <t>10.11113/jt.v77.6131</t>
  </si>
  <si>
    <t>10.3130/aijt.20.411</t>
  </si>
  <si>
    <t>10.5901/mjss.2014.v5n23p711</t>
  </si>
  <si>
    <t>10.3130/aijt.18.1135</t>
  </si>
  <si>
    <t>10.3130/aijt.18.1125</t>
  </si>
  <si>
    <t>10.1007/978-3-642-31875-7_29</t>
  </si>
  <si>
    <t>10.1007/978-3-642-33442-9_11</t>
  </si>
  <si>
    <t>10.20965/jaciii.2012.p0547</t>
  </si>
  <si>
    <t>10.20965/jdr.2012.p0363</t>
  </si>
  <si>
    <t>10.20965/jdr.2012.p0376</t>
  </si>
  <si>
    <t>From</t>
  </si>
  <si>
    <t>To</t>
  </si>
  <si>
    <t>Frequency</t>
  </si>
  <si>
    <t>BANGLADESH</t>
  </si>
  <si>
    <t>ICELAND</t>
  </si>
  <si>
    <t>SRI LANKA</t>
  </si>
  <si>
    <t>PAKISTAN</t>
  </si>
  <si>
    <t>AZERBAIJAN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</si>
</sst>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4" fontId="2" numFmtId="0" xfId="0" applyAlignment="1" applyFill="1" applyFont="1">
      <alignment horizontal="right" vertical="bottom"/>
    </xf>
    <xf borderId="0" fillId="4" fontId="2" numFmtId="0" xfId="0" applyAlignment="1" applyFont="1">
      <alignment horizontal="right" readingOrder="0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center" vertical="bottom"/>
    </xf>
    <xf borderId="0" fillId="5" fontId="3" numFmtId="10" xfId="0" applyAlignment="1" applyFont="1" applyNumberFormat="1">
      <alignment horizontal="center" vertical="bottom"/>
    </xf>
    <xf borderId="0" fillId="5" fontId="2" numFmtId="0" xfId="0" applyAlignment="1" applyFont="1">
      <alignment vertical="bottom"/>
    </xf>
    <xf borderId="0" fillId="0" fontId="1" numFmtId="0" xfId="0" applyFont="1"/>
    <xf borderId="0" fillId="6" fontId="1" numFmtId="0" xfId="0" applyFill="1" applyFont="1"/>
    <xf borderId="0" fillId="7" fontId="1" numFmtId="0" xfId="0" applyFill="1" applyFont="1"/>
    <xf borderId="0" fillId="3" fontId="1" numFmtId="0" xfId="0" applyFont="1"/>
    <xf borderId="0" fillId="4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0">
    <tableStyle count="3" pivot="0" name="MainInfo-style">
      <tableStyleElement dxfId="1" type="headerRow"/>
      <tableStyleElement dxfId="2" type="firstRowStripe"/>
      <tableStyleElement dxfId="3" type="secondRowStripe"/>
    </tableStyle>
    <tableStyle count="3" pivot="0" name="Producción SE - PE-style">
      <tableStyleElement dxfId="1" type="headerRow"/>
      <tableStyleElement dxfId="2" type="firstRowStripe"/>
      <tableStyleElement dxfId="3" type="secondRowStripe"/>
    </tableStyle>
    <tableStyle count="3" pivot="0" name="AnnualSciProd-style">
      <tableStyleElement dxfId="1" type="headerRow"/>
      <tableStyleElement dxfId="2" type="firstRowStripe"/>
      <tableStyleElement dxfId="3" type="secondRowStripe"/>
    </tableStyle>
    <tableStyle count="3" pivot="0" name="BradfordLaw-style">
      <tableStyleElement dxfId="1" type="headerRow"/>
      <tableStyleElement dxfId="2" type="firstRowStripe"/>
      <tableStyleElement dxfId="3" type="secondRowStripe"/>
    </tableStyle>
    <tableStyle count="3" pivot="0" name="MostRelSources-style">
      <tableStyleElement dxfId="1" type="headerRow"/>
      <tableStyleElement dxfId="2" type="firstRowStripe"/>
      <tableStyleElement dxfId="3" type="secondRowStripe"/>
    </tableStyle>
    <tableStyle count="3" pivot="0" name="ThematicMap-style">
      <tableStyleElement dxfId="1" type="headerRow"/>
      <tableStyleElement dxfId="2" type="firstRowStripe"/>
      <tableStyleElement dxfId="3" type="secondRowStripe"/>
    </tableStyle>
    <tableStyle count="3" pivot="0" name="ThematicMap-style 2">
      <tableStyleElement dxfId="1" type="headerRow"/>
      <tableStyleElement dxfId="2" type="firstRowStripe"/>
      <tableStyleElement dxfId="3" type="secondRowStripe"/>
    </tableStyle>
    <tableStyle count="3" pivot="0" name="ThematicMap-style 3">
      <tableStyleElement dxfId="1" type="headerRow"/>
      <tableStyleElement dxfId="2" type="firstRowStripe"/>
      <tableStyleElement dxfId="3" type="secondRowStripe"/>
    </tableStyle>
    <tableStyle count="3" pivot="0" name="ThematicMap-style 4">
      <tableStyleElement dxfId="1" type="headerRow"/>
      <tableStyleElement dxfId="2" type="firstRowStripe"/>
      <tableStyleElement dxfId="3" type="secondRowStripe"/>
    </tableStyle>
    <tableStyle count="3" pivot="0" name="MostGlobCitDo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'Producción SE - PE'!$D$2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dLbl>
              <c:idx val="12"/>
              <c:layout>
                <c:manualLayout>
                  <c:xMode val="edge"/>
                  <c:yMode val="edge"/>
                  <c:x val="0.46675271895644954"/>
                  <c:y val="0.805030002608922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>
                <c:manualLayout>
                  <c:xMode val="edge"/>
                  <c:yMode val="edge"/>
                  <c:x val="0.5067527189564383"/>
                  <c:y val="0.769116618836420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'Producción SE - PE'!$C$3:$C$28</c:f>
            </c:strRef>
          </c:cat>
          <c:val>
            <c:numRef>
              <c:f>'Producción SE - PE'!$D$3:$D$28</c:f>
              <c:numCache/>
            </c:numRef>
          </c:val>
        </c:ser>
        <c:ser>
          <c:idx val="1"/>
          <c:order val="1"/>
          <c:tx>
            <c:strRef>
              <c:f>'Producción SE - PE'!$E$2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'Producción SE - PE'!$C$3:$C$28</c:f>
            </c:strRef>
          </c:cat>
          <c:val>
            <c:numRef>
              <c:f>'Producción SE - PE'!$E$3:$E$28</c:f>
              <c:numCache/>
            </c:numRef>
          </c:val>
        </c:ser>
        <c:axId val="231060507"/>
        <c:axId val="1598280069"/>
      </c:areaChart>
      <c:catAx>
        <c:axId val="231060507"/>
        <c:scaling>
          <c:orientation val="minMax"/>
          <c:max val="202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280069"/>
      </c:catAx>
      <c:valAx>
        <c:axId val="1598280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publications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060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AnnualSciProd!$B$1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AnnualSciProd!$A$2:$A$24</c:f>
            </c:strRef>
          </c:cat>
          <c:val>
            <c:numRef>
              <c:f>AnnualSciProd!$B$2:$B$24</c:f>
              <c:numCache/>
            </c:numRef>
          </c:val>
        </c:ser>
        <c:axId val="2041624259"/>
        <c:axId val="1511872685"/>
      </c:areaChart>
      <c:catAx>
        <c:axId val="2041624259"/>
        <c:scaling>
          <c:orientation val="minMax"/>
          <c:max val="202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872685"/>
      </c:catAx>
      <c:valAx>
        <c:axId val="1511872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624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SourceLocImpact!$F$1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SourceLocImpact!$A$2:$A$11</c:f>
            </c:strRef>
          </c:cat>
          <c:val>
            <c:numRef>
              <c:f>SourceLocImpact!$F$2:$F$11</c:f>
              <c:numCache/>
            </c:numRef>
          </c:val>
        </c:ser>
        <c:axId val="411684797"/>
        <c:axId val="1283825953"/>
      </c:barChart>
      <c:catAx>
        <c:axId val="4116847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825953"/>
      </c:catAx>
      <c:valAx>
        <c:axId val="12838259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6847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SourceLocImpact!$B$1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SourceLocImpact!$A$2:$A$11</c:f>
            </c:strRef>
          </c:cat>
          <c:val>
            <c:numRef>
              <c:f>SourceLocImpact!$B$2:$B$11</c:f>
              <c:numCache/>
            </c:numRef>
          </c:val>
        </c:ser>
        <c:axId val="749226126"/>
        <c:axId val="1914644371"/>
      </c:barChart>
      <c:catAx>
        <c:axId val="7492261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644371"/>
      </c:catAx>
      <c:valAx>
        <c:axId val="19146443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h_index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2261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AuthorLocImpact!$F$1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AuthorLocImpact!$A$2:$A$11</c:f>
            </c:strRef>
          </c:cat>
          <c:val>
            <c:numRef>
              <c:f>AuthorLocImpact!$F$2:$F$11</c:f>
              <c:numCache/>
            </c:numRef>
          </c:val>
        </c:ser>
        <c:axId val="324414147"/>
        <c:axId val="205787329"/>
      </c:barChart>
      <c:catAx>
        <c:axId val="324414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87329"/>
      </c:catAx>
      <c:valAx>
        <c:axId val="205787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414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AuthorLocImpact!$B$1</c:f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AuthorLocImpact!$A$2:$A$11</c:f>
            </c:strRef>
          </c:cat>
          <c:val>
            <c:numRef>
              <c:f>AuthorLocImpact!$B$2:$B$11</c:f>
              <c:numCache/>
            </c:numRef>
          </c:val>
        </c:ser>
        <c:axId val="646505634"/>
        <c:axId val="331163321"/>
      </c:barChart>
      <c:catAx>
        <c:axId val="646505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163321"/>
      </c:catAx>
      <c:valAx>
        <c:axId val="331163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h_index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505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MostRelAffiliations!$B$1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xVal>
            <c:numRef>
              <c:f>MostRelAffiliations!$A$2:$A$11</c:f>
            </c:numRef>
          </c:xVal>
          <c:yVal>
            <c:numRef>
              <c:f>MostRelAffiliations!$B$2:$B$11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403966"/>
        <c:axId val="953994245"/>
      </c:scatterChart>
      <c:valAx>
        <c:axId val="6984039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994245"/>
      </c:valAx>
      <c:valAx>
        <c:axId val="953994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403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CorrAuthCountries!$D$1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CorrAuthCountries!$A$2:$A$11</c:f>
            </c:strRef>
          </c:cat>
          <c:val>
            <c:numRef>
              <c:f>CorrAuthCountries!$D$2:$D$11</c:f>
              <c:numCache/>
            </c:numRef>
          </c:val>
        </c:ser>
        <c:ser>
          <c:idx val="1"/>
          <c:order val="1"/>
          <c:tx>
            <c:strRef>
              <c:f>CorrAuthCountries!$E$1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CorrAuthCountries!$A$2:$A$11</c:f>
            </c:strRef>
          </c:cat>
          <c:val>
            <c:numRef>
              <c:f>CorrAuthCountries!$E$2:$E$11</c:f>
              <c:numCache/>
            </c:numRef>
          </c:val>
        </c:ser>
        <c:overlap val="100"/>
        <c:axId val="86529269"/>
        <c:axId val="578552873"/>
      </c:barChart>
      <c:catAx>
        <c:axId val="865292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552873"/>
      </c:catAx>
      <c:valAx>
        <c:axId val="578552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292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MostGlobCitDocs!$C$1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MostGlobCitDocs!$A$2:$A$11</c:f>
            </c:strRef>
          </c:cat>
          <c:val>
            <c:numRef>
              <c:f>MostGlobCitDocs!$C$2:$C$11</c:f>
              <c:numCache/>
            </c:numRef>
          </c:val>
        </c:ser>
        <c:overlap val="100"/>
        <c:axId val="423049829"/>
        <c:axId val="272179974"/>
      </c:barChart>
      <c:catAx>
        <c:axId val="4230498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179974"/>
      </c:catAx>
      <c:valAx>
        <c:axId val="2721799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0498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714375</xdr:colOff>
      <xdr:row>0</xdr:row>
      <xdr:rowOff>0</xdr:rowOff>
    </xdr:from>
    <xdr:ext cx="5715000" cy="3533775"/>
    <xdr:graphicFrame>
      <xdr:nvGraphicFramePr>
        <xdr:cNvPr id="147044323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</xdr:row>
      <xdr:rowOff>57150</xdr:rowOff>
    </xdr:from>
    <xdr:ext cx="7362825" cy="4552950"/>
    <xdr:graphicFrame>
      <xdr:nvGraphicFramePr>
        <xdr:cNvPr id="41108670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19050</xdr:colOff>
      <xdr:row>0</xdr:row>
      <xdr:rowOff>171450</xdr:rowOff>
    </xdr:from>
    <xdr:ext cx="4800600" cy="33623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9144000" cy="6400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144000" cy="6400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2</xdr:row>
      <xdr:rowOff>104775</xdr:rowOff>
    </xdr:from>
    <xdr:ext cx="5715000" cy="3533775"/>
    <xdr:graphicFrame>
      <xdr:nvGraphicFramePr>
        <xdr:cNvPr id="1536713540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22</xdr:row>
      <xdr:rowOff>9525</xdr:rowOff>
    </xdr:from>
    <xdr:ext cx="6629400" cy="4105275"/>
    <xdr:graphicFrame>
      <xdr:nvGraphicFramePr>
        <xdr:cNvPr id="570011337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533400</xdr:colOff>
      <xdr:row>2</xdr:row>
      <xdr:rowOff>104775</xdr:rowOff>
    </xdr:from>
    <xdr:ext cx="4791075" cy="33432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2</xdr:row>
      <xdr:rowOff>85725</xdr:rowOff>
    </xdr:from>
    <xdr:ext cx="5715000" cy="3533775"/>
    <xdr:graphicFrame>
      <xdr:nvGraphicFramePr>
        <xdr:cNvPr id="18084461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333375</xdr:colOff>
      <xdr:row>21</xdr:row>
      <xdr:rowOff>152400</xdr:rowOff>
    </xdr:from>
    <xdr:ext cx="5715000" cy="3533775"/>
    <xdr:graphicFrame>
      <xdr:nvGraphicFramePr>
        <xdr:cNvPr id="649541872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161925</xdr:colOff>
      <xdr:row>2</xdr:row>
      <xdr:rowOff>19050</xdr:rowOff>
    </xdr:from>
    <xdr:ext cx="4591050" cy="32194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590550</xdr:colOff>
      <xdr:row>2</xdr:row>
      <xdr:rowOff>38100</xdr:rowOff>
    </xdr:from>
    <xdr:ext cx="9144000" cy="64008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43</xdr:row>
      <xdr:rowOff>0</xdr:rowOff>
    </xdr:from>
    <xdr:ext cx="9144000" cy="64008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3</xdr:row>
      <xdr:rowOff>38100</xdr:rowOff>
    </xdr:from>
    <xdr:ext cx="5715000" cy="3533775"/>
    <xdr:graphicFrame>
      <xdr:nvGraphicFramePr>
        <xdr:cNvPr id="183762612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209550</xdr:colOff>
      <xdr:row>0</xdr:row>
      <xdr:rowOff>180975</xdr:rowOff>
    </xdr:from>
    <xdr:ext cx="4438650" cy="31146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2</xdr:row>
      <xdr:rowOff>38100</xdr:rowOff>
    </xdr:from>
    <xdr:ext cx="5715000" cy="3533775"/>
    <xdr:graphicFrame>
      <xdr:nvGraphicFramePr>
        <xdr:cNvPr id="125723622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600075</xdr:colOff>
      <xdr:row>21</xdr:row>
      <xdr:rowOff>38100</xdr:rowOff>
    </xdr:from>
    <xdr:ext cx="5715000" cy="3533775"/>
    <xdr:pic>
      <xdr:nvPicPr>
        <xdr:cNvPr id="1094530435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514350</xdr:colOff>
      <xdr:row>1</xdr:row>
      <xdr:rowOff>38100</xdr:rowOff>
    </xdr:from>
    <xdr:ext cx="4533900" cy="31813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13</xdr:row>
      <xdr:rowOff>0</xdr:rowOff>
    </xdr:from>
    <xdr:ext cx="7219950" cy="4457700"/>
    <xdr:graphicFrame>
      <xdr:nvGraphicFramePr>
        <xdr:cNvPr id="230168834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0</xdr:rowOff>
    </xdr:from>
    <xdr:ext cx="9144000" cy="64008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9144000" cy="64008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C30" displayName="Table_1" name="Table_1" id="1">
  <tableColumns count="3">
    <tableColumn name="Column1" id="1"/>
    <tableColumn name="Column2" id="2"/>
    <tableColumn name="Column3" id="3"/>
  </tableColumns>
  <tableStyleInfo name="Main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C2:E28" displayName="Table_2" name="Table_2" id="2">
  <tableColumns count="3">
    <tableColumn name="Year" id="1"/>
    <tableColumn name="SE" id="2"/>
    <tableColumn name="CP" id="3"/>
  </tableColumns>
  <tableStyleInfo name="Producción SE - PE-style" showColumnStripes="0" showFirstColumn="1" showLastColumn="1" showRowStripes="1"/>
</table>
</file>

<file path=xl/tables/table3.xml><?xml version="1.0" encoding="utf-8"?>
<table xmlns="http://schemas.openxmlformats.org/spreadsheetml/2006/main" ref="A1:B25" displayName="Table_3" name="Table_3" id="3">
  <tableColumns count="2">
    <tableColumn name="Year" id="1"/>
    <tableColumn name="Articles" id="2"/>
  </tableColumns>
  <tableStyleInfo name="AnnualSciProd-style" showColumnStripes="0" showFirstColumn="1" showLastColumn="1" showRowStripes="1"/>
</table>
</file>

<file path=xl/tables/table4.xml><?xml version="1.0" encoding="utf-8"?>
<table xmlns="http://schemas.openxmlformats.org/spreadsheetml/2006/main" ref="A1:E276" displayName="Table_4" name="Table_4" id="4">
  <tableColumns count="5">
    <tableColumn name="SO" id="1"/>
    <tableColumn name="Rank" id="2"/>
    <tableColumn name="Freq" id="3"/>
    <tableColumn name="cumFreq" id="4"/>
    <tableColumn name="Zone" id="5"/>
  </tableColumns>
  <tableStyleInfo name="BradfordLaw-style" showColumnStripes="0" showFirstColumn="1" showLastColumn="1" showRowStripes="1"/>
</table>
</file>

<file path=xl/tables/table5.xml><?xml version="1.0" encoding="utf-8"?>
<table xmlns="http://schemas.openxmlformats.org/spreadsheetml/2006/main" ref="A1:B276" displayName="Table_5" name="Table_5" id="5">
  <tableColumns count="2">
    <tableColumn name="Sources" id="1"/>
    <tableColumn name="Articles" id="2"/>
  </tableColumns>
  <tableStyleInfo name="MostRelSources-style" showColumnStripes="0" showFirstColumn="1" showLastColumn="1" showRowStripes="1"/>
</table>
</file>

<file path=xl/tables/table6.xml><?xml version="1.0" encoding="utf-8"?>
<table xmlns="http://schemas.openxmlformats.org/spreadsheetml/2006/main" ref="A1:B11" displayName="Table_6" name="Table_6" id="6">
  <tableColumns count="2">
    <tableColumn name="params" id="1"/>
    <tableColumn name="values" id="2"/>
  </tableColumns>
  <tableStyleInfo name="ThematicMap-style" showColumnStripes="0" showFirstColumn="1" showLastColumn="1" showRowStripes="1"/>
</table>
</file>

<file path=xl/tables/table7.xml><?xml version="1.0" encoding="utf-8"?>
<table xmlns="http://schemas.openxmlformats.org/spreadsheetml/2006/main" ref="A14:G217" displayName="Table_7" name="Table_7" id="7">
  <tableColumns count="7">
    <tableColumn name="Occurrences" id="1"/>
    <tableColumn name="Words" id="2"/>
    <tableColumn name="Cluster" id="3"/>
    <tableColumn name="Cluster_Label" id="4"/>
    <tableColumn name="btw_centrality" id="5"/>
    <tableColumn name="clos_centrality" id="6"/>
    <tableColumn name="pagerank_centrality" id="7"/>
  </tableColumns>
  <tableStyleInfo name="ThematicMap-style 2" showColumnStripes="0" showFirstColumn="1" showLastColumn="1" showRowStripes="1"/>
</table>
</file>

<file path=xl/tables/table8.xml><?xml version="1.0" encoding="utf-8"?>
<table xmlns="http://schemas.openxmlformats.org/spreadsheetml/2006/main" ref="A220:F228" displayName="Table_8" name="Table_8" id="8">
  <tableColumns count="6">
    <tableColumn name="Cluster" id="1"/>
    <tableColumn name="CallonCentrality" id="2"/>
    <tableColumn name="CallonDensity" id="3"/>
    <tableColumn name="RankCentrality" id="4"/>
    <tableColumn name="RankDensity" id="5"/>
    <tableColumn name="ClusterFrequency" id="6"/>
  </tableColumns>
  <tableStyleInfo name="ThematicMap-style 3" showColumnStripes="0" showFirstColumn="1" showLastColumn="1" showRowStripes="1"/>
</table>
</file>

<file path=xl/tables/table9.xml><?xml version="1.0" encoding="utf-8"?>
<table xmlns="http://schemas.openxmlformats.org/spreadsheetml/2006/main" ref="A231:S695" displayName="Table_9" name="Table_9" id="9">
  <tableColumns count="19">
    <tableColumn name="DOI" id="1"/>
    <tableColumn name="Authors" id="2"/>
    <tableColumn name="Title" id="3"/>
    <tableColumn name="Source" id="4"/>
    <tableColumn name="Year" id="5"/>
    <tableColumn name="TotalCitation" id="6"/>
    <tableColumn name="TCperYear" id="7"/>
    <tableColumn name="NTC" id="8"/>
    <tableColumn name="SR" id="9"/>
    <tableColumn name="business continuity" id="10"/>
    <tableColumn name="business sustainability" id="11"/>
    <tableColumn name="sustainability" id="12"/>
    <tableColumn name="risk" id="13"/>
    <tableColumn name="business continuity management" id="14"/>
    <tableColumn name="business continuity management (bcm)" id="15"/>
    <tableColumn name="emergency preparedness" id="16"/>
    <tableColumn name="adaptability" id="17"/>
    <tableColumn name="Assigned_cluster" id="18"/>
    <tableColumn name="pagerank" id="19"/>
  </tableColumns>
  <tableStyleInfo name="ThematicMap-style 4" showColumnStripes="0" showFirstColumn="1" showLastColumn="1" showRowStripes="1"/>
</table>
</file>

<file path=xl/tables/table10.xml><?xml version="1.0" encoding="utf-8"?>
<table xmlns="http://schemas.openxmlformats.org/spreadsheetml/2006/main" ref="A1:E465" displayName="Table_10" name="Table_10" id="10">
  <tableColumns count="5">
    <tableColumn name="Paper" id="1"/>
    <tableColumn name="DOI" id="2"/>
    <tableColumn name="Total Citations" id="3"/>
    <tableColumn name="TC per Year" id="4"/>
    <tableColumn name="Normalized TC" id="5"/>
  </tableColumns>
  <tableStyleInfo name="MostGlobCitDo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4</v>
      </c>
      <c r="B3" s="1" t="s">
        <v>5</v>
      </c>
      <c r="C3" s="1"/>
    </row>
    <row r="4">
      <c r="A4" s="1" t="s">
        <v>6</v>
      </c>
      <c r="B4" s="1" t="s">
        <v>7</v>
      </c>
      <c r="C4" s="1"/>
    </row>
    <row r="5">
      <c r="A5" s="1" t="s">
        <v>8</v>
      </c>
      <c r="B5" s="2">
        <v>463.0</v>
      </c>
      <c r="C5" s="3"/>
    </row>
    <row r="6">
      <c r="A6" s="1" t="s">
        <v>9</v>
      </c>
      <c r="B6" s="1" t="s">
        <v>10</v>
      </c>
      <c r="C6" s="1"/>
    </row>
    <row r="7">
      <c r="A7" s="1" t="s">
        <v>11</v>
      </c>
      <c r="B7" s="1" t="s">
        <v>12</v>
      </c>
      <c r="C7" s="1"/>
    </row>
    <row r="8">
      <c r="A8" s="1" t="s">
        <v>13</v>
      </c>
      <c r="B8" s="1" t="s">
        <v>14</v>
      </c>
      <c r="C8" s="1"/>
    </row>
    <row r="9">
      <c r="A9" s="1" t="s">
        <v>15</v>
      </c>
      <c r="B9" s="1" t="s">
        <v>10</v>
      </c>
      <c r="C9" s="1"/>
    </row>
    <row r="10">
      <c r="A10" s="1" t="s">
        <v>16</v>
      </c>
      <c r="B10" s="1" t="s">
        <v>3</v>
      </c>
      <c r="C10" s="1"/>
    </row>
    <row r="11">
      <c r="A11" s="1" t="s">
        <v>17</v>
      </c>
      <c r="B11" s="1" t="s">
        <v>18</v>
      </c>
      <c r="C11" s="1"/>
    </row>
    <row r="12">
      <c r="A12" s="1" t="s">
        <v>19</v>
      </c>
      <c r="B12" s="1" t="s">
        <v>20</v>
      </c>
      <c r="C12" s="1"/>
    </row>
    <row r="13">
      <c r="A13" s="1" t="s">
        <v>21</v>
      </c>
      <c r="B13" s="1" t="s">
        <v>3</v>
      </c>
      <c r="C13" s="1"/>
    </row>
    <row r="14">
      <c r="A14" s="1" t="s">
        <v>22</v>
      </c>
      <c r="B14" s="1" t="s">
        <v>23</v>
      </c>
      <c r="C14" s="1"/>
    </row>
    <row r="15">
      <c r="A15" s="1" t="s">
        <v>24</v>
      </c>
      <c r="B15" s="1" t="s">
        <v>25</v>
      </c>
      <c r="C15" s="1"/>
    </row>
    <row r="16">
      <c r="A16" s="1" t="s">
        <v>26</v>
      </c>
      <c r="B16" s="1" t="s">
        <v>3</v>
      </c>
      <c r="C16" s="1"/>
    </row>
    <row r="17">
      <c r="A17" s="1" t="s">
        <v>27</v>
      </c>
      <c r="B17" s="1" t="s">
        <v>28</v>
      </c>
      <c r="C17" s="1"/>
    </row>
    <row r="18">
      <c r="A18" s="1" t="s">
        <v>29</v>
      </c>
      <c r="B18" s="1" t="s">
        <v>30</v>
      </c>
      <c r="C18" s="1"/>
    </row>
    <row r="19">
      <c r="A19" s="1" t="s">
        <v>31</v>
      </c>
      <c r="B19" s="1" t="s">
        <v>32</v>
      </c>
      <c r="C19" s="1"/>
    </row>
    <row r="20">
      <c r="A20" s="1" t="s">
        <v>33</v>
      </c>
      <c r="B20" s="1" t="s">
        <v>3</v>
      </c>
      <c r="C20" s="1"/>
    </row>
    <row r="21" ht="15.75" customHeight="1">
      <c r="A21" s="1" t="s">
        <v>34</v>
      </c>
      <c r="B21" s="1" t="s">
        <v>35</v>
      </c>
      <c r="C21" s="1"/>
    </row>
    <row r="22" ht="15.75" customHeight="1">
      <c r="A22" s="1" t="s">
        <v>36</v>
      </c>
      <c r="B22" s="1" t="s">
        <v>37</v>
      </c>
      <c r="C22" s="1"/>
    </row>
    <row r="23" ht="15.75" customHeight="1">
      <c r="A23" s="1" t="s">
        <v>38</v>
      </c>
      <c r="B23" s="1" t="s">
        <v>39</v>
      </c>
      <c r="C23" s="1"/>
    </row>
    <row r="24" ht="15.75" customHeight="1">
      <c r="A24" s="1" t="s">
        <v>40</v>
      </c>
      <c r="B24" s="1" t="s">
        <v>41</v>
      </c>
      <c r="C24" s="1"/>
    </row>
    <row r="25" ht="15.75" customHeight="1">
      <c r="A25" s="1" t="s">
        <v>42</v>
      </c>
      <c r="B25" s="1" t="s">
        <v>39</v>
      </c>
      <c r="C25" s="1"/>
    </row>
    <row r="26" ht="15.75" customHeight="1">
      <c r="A26" s="1" t="s">
        <v>43</v>
      </c>
      <c r="B26" s="1" t="s">
        <v>44</v>
      </c>
      <c r="C26" s="1"/>
    </row>
    <row r="27" ht="15.75" customHeight="1">
      <c r="A27" s="1" t="s">
        <v>45</v>
      </c>
      <c r="B27" s="1" t="s">
        <v>46</v>
      </c>
      <c r="C27" s="1"/>
    </row>
    <row r="28" ht="15.75" customHeight="1">
      <c r="A28" s="1" t="s">
        <v>47</v>
      </c>
      <c r="B28" s="1" t="s">
        <v>46</v>
      </c>
      <c r="C28" s="1"/>
    </row>
    <row r="29" ht="15.75" customHeight="1">
      <c r="A29" s="1" t="s">
        <v>48</v>
      </c>
      <c r="B29" s="1" t="s">
        <v>46</v>
      </c>
      <c r="C29" s="1"/>
    </row>
    <row r="30" ht="15.75" customHeight="1">
      <c r="A30" s="1" t="s">
        <v>49</v>
      </c>
      <c r="B30" s="1" t="s">
        <v>50</v>
      </c>
      <c r="C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C2" s="4" t="s">
        <v>51</v>
      </c>
      <c r="D2" s="5" t="s">
        <v>52</v>
      </c>
      <c r="E2" s="5" t="s">
        <v>53</v>
      </c>
    </row>
    <row r="3">
      <c r="C3" s="6">
        <v>1999.0</v>
      </c>
      <c r="D3" s="6">
        <v>1.0</v>
      </c>
      <c r="E3" s="7">
        <v>0.0</v>
      </c>
    </row>
    <row r="4">
      <c r="C4" s="8">
        <v>2000.0</v>
      </c>
      <c r="D4" s="8">
        <v>0.0</v>
      </c>
      <c r="E4" s="9">
        <v>0.0</v>
      </c>
    </row>
    <row r="5">
      <c r="C5" s="6">
        <v>2001.0</v>
      </c>
      <c r="D5" s="6">
        <v>0.0</v>
      </c>
      <c r="E5" s="7">
        <v>0.0</v>
      </c>
    </row>
    <row r="6">
      <c r="C6" s="8">
        <v>2002.0</v>
      </c>
      <c r="D6" s="8">
        <v>0.0</v>
      </c>
      <c r="E6" s="1">
        <v>1.0</v>
      </c>
    </row>
    <row r="7">
      <c r="C7" s="6">
        <v>2003.0</v>
      </c>
      <c r="D7" s="6">
        <v>2.0</v>
      </c>
      <c r="E7" s="1">
        <v>0.0</v>
      </c>
    </row>
    <row r="8">
      <c r="C8" s="8">
        <v>2004.0</v>
      </c>
      <c r="D8" s="8">
        <v>0.0</v>
      </c>
      <c r="E8" s="1">
        <v>1.0</v>
      </c>
    </row>
    <row r="9">
      <c r="C9" s="6">
        <v>2005.0</v>
      </c>
      <c r="D9" s="6">
        <v>0.0</v>
      </c>
      <c r="E9" s="1">
        <v>0.0</v>
      </c>
    </row>
    <row r="10">
      <c r="C10" s="8">
        <v>2006.0</v>
      </c>
      <c r="D10" s="8">
        <v>2.0</v>
      </c>
      <c r="E10" s="1">
        <v>3.0</v>
      </c>
    </row>
    <row r="11">
      <c r="C11" s="6">
        <v>2007.0</v>
      </c>
      <c r="D11" s="6">
        <v>2.0</v>
      </c>
      <c r="E11" s="1">
        <v>2.0</v>
      </c>
    </row>
    <row r="12">
      <c r="C12" s="8">
        <v>2008.0</v>
      </c>
      <c r="D12" s="8">
        <v>4.0</v>
      </c>
      <c r="E12" s="1">
        <v>4.0</v>
      </c>
    </row>
    <row r="13">
      <c r="C13" s="6">
        <v>2009.0</v>
      </c>
      <c r="D13" s="6">
        <v>5.0</v>
      </c>
      <c r="E13" s="1">
        <v>6.0</v>
      </c>
    </row>
    <row r="14">
      <c r="C14" s="8">
        <v>2010.0</v>
      </c>
      <c r="D14" s="8">
        <v>17.0</v>
      </c>
      <c r="E14" s="1">
        <v>3.0</v>
      </c>
    </row>
    <row r="15">
      <c r="C15" s="6">
        <v>2011.0</v>
      </c>
      <c r="D15" s="6">
        <v>10.0</v>
      </c>
      <c r="E15" s="1">
        <v>5.0</v>
      </c>
    </row>
    <row r="16">
      <c r="C16" s="8">
        <v>2012.0</v>
      </c>
      <c r="D16" s="8">
        <v>18.0</v>
      </c>
      <c r="E16" s="1">
        <v>13.0</v>
      </c>
    </row>
    <row r="17">
      <c r="C17" s="6">
        <v>2013.0</v>
      </c>
      <c r="D17" s="6">
        <v>20.0</v>
      </c>
      <c r="E17" s="1">
        <v>5.0</v>
      </c>
    </row>
    <row r="18">
      <c r="C18" s="8">
        <v>2014.0</v>
      </c>
      <c r="D18" s="8">
        <v>41.0</v>
      </c>
      <c r="E18" s="1">
        <v>8.0</v>
      </c>
    </row>
    <row r="19">
      <c r="C19" s="6">
        <v>2015.0</v>
      </c>
      <c r="D19" s="6">
        <v>53.0</v>
      </c>
      <c r="E19" s="1">
        <v>18.0</v>
      </c>
    </row>
    <row r="20">
      <c r="C20" s="8">
        <v>2016.0</v>
      </c>
      <c r="D20" s="8">
        <v>79.0</v>
      </c>
      <c r="E20" s="1">
        <v>10.0</v>
      </c>
    </row>
    <row r="21">
      <c r="C21" s="6">
        <v>2017.0</v>
      </c>
      <c r="D21" s="6">
        <v>74.0</v>
      </c>
      <c r="E21" s="1">
        <v>15.0</v>
      </c>
    </row>
    <row r="22">
      <c r="C22" s="8">
        <v>2018.0</v>
      </c>
      <c r="D22" s="8">
        <v>102.0</v>
      </c>
      <c r="E22" s="1">
        <v>23.0</v>
      </c>
    </row>
    <row r="23">
      <c r="C23" s="6">
        <v>2019.0</v>
      </c>
      <c r="D23" s="6">
        <v>152.0</v>
      </c>
      <c r="E23" s="1">
        <v>34.0</v>
      </c>
    </row>
    <row r="24">
      <c r="C24" s="8">
        <v>2020.0</v>
      </c>
      <c r="D24" s="8">
        <v>168.0</v>
      </c>
      <c r="E24" s="1">
        <v>44.0</v>
      </c>
    </row>
    <row r="25">
      <c r="C25" s="6">
        <v>2021.0</v>
      </c>
      <c r="D25" s="6">
        <v>230.0</v>
      </c>
      <c r="E25" s="1">
        <v>52.0</v>
      </c>
    </row>
    <row r="26">
      <c r="C26" s="8">
        <v>2022.0</v>
      </c>
      <c r="D26" s="8">
        <v>233.0</v>
      </c>
      <c r="E26" s="1">
        <v>63.0</v>
      </c>
    </row>
    <row r="27">
      <c r="C27" s="6">
        <v>2023.0</v>
      </c>
      <c r="D27" s="6">
        <v>207.0</v>
      </c>
      <c r="E27" s="1">
        <v>77.0</v>
      </c>
    </row>
    <row r="28">
      <c r="C28" s="8">
        <v>2024.0</v>
      </c>
      <c r="D28" s="8">
        <v>173.0</v>
      </c>
      <c r="E28" s="1">
        <v>76.0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51</v>
      </c>
      <c r="B1" s="1" t="s">
        <v>54</v>
      </c>
    </row>
    <row r="2">
      <c r="A2" s="1">
        <v>2002.0</v>
      </c>
      <c r="B2" s="1">
        <v>1.0</v>
      </c>
    </row>
    <row r="3">
      <c r="A3" s="1">
        <v>2003.0</v>
      </c>
      <c r="B3" s="1">
        <v>0.0</v>
      </c>
    </row>
    <row r="4">
      <c r="A4" s="1">
        <v>2004.0</v>
      </c>
      <c r="B4" s="1">
        <v>1.0</v>
      </c>
    </row>
    <row r="5">
      <c r="A5" s="1">
        <v>2005.0</v>
      </c>
      <c r="B5" s="1">
        <v>0.0</v>
      </c>
    </row>
    <row r="6">
      <c r="A6" s="1">
        <v>2006.0</v>
      </c>
      <c r="B6" s="1">
        <v>3.0</v>
      </c>
    </row>
    <row r="7">
      <c r="A7" s="1">
        <v>2007.0</v>
      </c>
      <c r="B7" s="1">
        <v>2.0</v>
      </c>
    </row>
    <row r="8">
      <c r="A8" s="1">
        <v>2008.0</v>
      </c>
      <c r="B8" s="1">
        <v>4.0</v>
      </c>
    </row>
    <row r="9">
      <c r="A9" s="1">
        <v>2009.0</v>
      </c>
      <c r="B9" s="1">
        <v>6.0</v>
      </c>
    </row>
    <row r="10">
      <c r="A10" s="1">
        <v>2010.0</v>
      </c>
      <c r="B10" s="1">
        <v>3.0</v>
      </c>
    </row>
    <row r="11">
      <c r="A11" s="1">
        <v>2011.0</v>
      </c>
      <c r="B11" s="1">
        <v>5.0</v>
      </c>
    </row>
    <row r="12">
      <c r="A12" s="1">
        <v>2012.0</v>
      </c>
      <c r="B12" s="1">
        <v>13.0</v>
      </c>
    </row>
    <row r="13">
      <c r="A13" s="1">
        <v>2013.0</v>
      </c>
      <c r="B13" s="1">
        <v>5.0</v>
      </c>
    </row>
    <row r="14">
      <c r="A14" s="1">
        <v>2014.0</v>
      </c>
      <c r="B14" s="1">
        <v>8.0</v>
      </c>
    </row>
    <row r="15">
      <c r="A15" s="1">
        <v>2015.0</v>
      </c>
      <c r="B15" s="1">
        <v>18.0</v>
      </c>
    </row>
    <row r="16">
      <c r="A16" s="1">
        <v>2016.0</v>
      </c>
      <c r="B16" s="1">
        <v>10.0</v>
      </c>
    </row>
    <row r="17">
      <c r="A17" s="1">
        <v>2017.0</v>
      </c>
      <c r="B17" s="1">
        <v>15.0</v>
      </c>
    </row>
    <row r="18">
      <c r="A18" s="1">
        <v>2018.0</v>
      </c>
      <c r="B18" s="1">
        <v>23.0</v>
      </c>
    </row>
    <row r="19">
      <c r="A19" s="1">
        <v>2019.0</v>
      </c>
      <c r="B19" s="1">
        <v>34.0</v>
      </c>
    </row>
    <row r="20">
      <c r="A20" s="1">
        <v>2020.0</v>
      </c>
      <c r="B20" s="1">
        <v>44.0</v>
      </c>
    </row>
    <row r="21" ht="15.75" customHeight="1">
      <c r="A21" s="1">
        <v>2021.0</v>
      </c>
      <c r="B21" s="1">
        <v>52.0</v>
      </c>
    </row>
    <row r="22" ht="15.75" customHeight="1">
      <c r="A22" s="1">
        <v>2022.0</v>
      </c>
      <c r="B22" s="1">
        <v>63.0</v>
      </c>
    </row>
    <row r="23" ht="15.75" customHeight="1">
      <c r="A23" s="1">
        <v>2023.0</v>
      </c>
      <c r="B23" s="1">
        <v>77.0</v>
      </c>
    </row>
    <row r="24" ht="15.75" customHeight="1">
      <c r="A24" s="1">
        <v>2024.0</v>
      </c>
      <c r="B24" s="1">
        <v>76.0</v>
      </c>
    </row>
    <row r="25" ht="15.75" customHeight="1">
      <c r="A25" s="1"/>
      <c r="B25" s="1"/>
    </row>
    <row r="26" ht="15.75" customHeight="1"/>
    <row r="27" ht="15.75" customHeight="1"/>
    <row r="28" ht="15.75" customHeight="1"/>
    <row r="29" ht="15.75" customHeight="1"/>
    <row r="30" ht="15.75" customHeight="1">
      <c r="D30" s="10" t="s">
        <v>55</v>
      </c>
      <c r="E30" s="11">
        <f>SUM(B18:B24)</f>
        <v>369</v>
      </c>
      <c r="F30" s="12">
        <f>E30/G30</f>
        <v>0.7969762419</v>
      </c>
      <c r="G30" s="11">
        <f>SUM(B2:B24)</f>
        <v>463</v>
      </c>
    </row>
    <row r="31" ht="15.75" customHeight="1">
      <c r="D31" s="10" t="s">
        <v>56</v>
      </c>
      <c r="E31" s="12">
        <f>((B24/B6)^(1/19))-1</f>
        <v>0.1854371794</v>
      </c>
      <c r="F31" s="13"/>
      <c r="G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>
      <c r="A2" s="1" t="s">
        <v>62</v>
      </c>
      <c r="B2" s="1">
        <v>1.0</v>
      </c>
      <c r="C2" s="1">
        <v>55.0</v>
      </c>
      <c r="D2" s="1">
        <v>55.0</v>
      </c>
      <c r="E2" s="1" t="s">
        <v>63</v>
      </c>
    </row>
    <row r="3">
      <c r="A3" s="1" t="s">
        <v>64</v>
      </c>
      <c r="B3" s="1">
        <v>2.0</v>
      </c>
      <c r="C3" s="1">
        <v>21.0</v>
      </c>
      <c r="D3" s="1">
        <v>76.0</v>
      </c>
      <c r="E3" s="1" t="s">
        <v>63</v>
      </c>
    </row>
    <row r="4">
      <c r="A4" s="1" t="s">
        <v>65</v>
      </c>
      <c r="B4" s="1">
        <v>3.0</v>
      </c>
      <c r="C4" s="1">
        <v>14.0</v>
      </c>
      <c r="D4" s="1">
        <v>90.0</v>
      </c>
      <c r="E4" s="1" t="s">
        <v>63</v>
      </c>
    </row>
    <row r="5">
      <c r="A5" s="1" t="s">
        <v>66</v>
      </c>
      <c r="B5" s="1">
        <v>4.0</v>
      </c>
      <c r="C5" s="1">
        <v>7.0</v>
      </c>
      <c r="D5" s="1">
        <v>97.0</v>
      </c>
      <c r="E5" s="1" t="s">
        <v>63</v>
      </c>
    </row>
    <row r="6">
      <c r="A6" s="1" t="s">
        <v>67</v>
      </c>
      <c r="B6" s="1">
        <v>5.0</v>
      </c>
      <c r="C6" s="1">
        <v>7.0</v>
      </c>
      <c r="D6" s="1">
        <v>104.0</v>
      </c>
      <c r="E6" s="1" t="s">
        <v>63</v>
      </c>
    </row>
    <row r="7">
      <c r="A7" s="1" t="s">
        <v>68</v>
      </c>
      <c r="B7" s="1">
        <v>6.0</v>
      </c>
      <c r="C7" s="1">
        <v>7.0</v>
      </c>
      <c r="D7" s="1">
        <v>111.0</v>
      </c>
      <c r="E7" s="1" t="s">
        <v>63</v>
      </c>
    </row>
    <row r="8">
      <c r="A8" s="1" t="s">
        <v>69</v>
      </c>
      <c r="B8" s="1">
        <v>7.0</v>
      </c>
      <c r="C8" s="1">
        <v>6.0</v>
      </c>
      <c r="D8" s="1">
        <v>117.0</v>
      </c>
      <c r="E8" s="1" t="s">
        <v>63</v>
      </c>
    </row>
    <row r="9">
      <c r="A9" s="1" t="s">
        <v>70</v>
      </c>
      <c r="B9" s="1">
        <v>8.0</v>
      </c>
      <c r="C9" s="1">
        <v>5.0</v>
      </c>
      <c r="D9" s="1">
        <v>122.0</v>
      </c>
      <c r="E9" s="1" t="s">
        <v>63</v>
      </c>
    </row>
    <row r="10">
      <c r="A10" s="1" t="s">
        <v>71</v>
      </c>
      <c r="B10" s="1">
        <v>9.0</v>
      </c>
      <c r="C10" s="1">
        <v>5.0</v>
      </c>
      <c r="D10" s="1">
        <v>127.0</v>
      </c>
      <c r="E10" s="1" t="s">
        <v>63</v>
      </c>
    </row>
    <row r="11">
      <c r="A11" s="1" t="s">
        <v>72</v>
      </c>
      <c r="B11" s="1">
        <v>10.0</v>
      </c>
      <c r="C11" s="1">
        <v>4.0</v>
      </c>
      <c r="D11" s="1">
        <v>131.0</v>
      </c>
      <c r="E11" s="1" t="s">
        <v>63</v>
      </c>
    </row>
    <row r="12">
      <c r="A12" s="1" t="s">
        <v>73</v>
      </c>
      <c r="B12" s="1">
        <v>11.0</v>
      </c>
      <c r="C12" s="1">
        <v>4.0</v>
      </c>
      <c r="D12" s="1">
        <v>135.0</v>
      </c>
      <c r="E12" s="1" t="s">
        <v>63</v>
      </c>
    </row>
    <row r="13">
      <c r="A13" s="1" t="s">
        <v>74</v>
      </c>
      <c r="B13" s="1">
        <v>12.0</v>
      </c>
      <c r="C13" s="1">
        <v>3.0</v>
      </c>
      <c r="D13" s="1">
        <v>138.0</v>
      </c>
      <c r="E13" s="1" t="s">
        <v>63</v>
      </c>
    </row>
    <row r="14">
      <c r="A14" s="1" t="s">
        <v>75</v>
      </c>
      <c r="B14" s="1">
        <v>13.0</v>
      </c>
      <c r="C14" s="1">
        <v>3.0</v>
      </c>
      <c r="D14" s="1">
        <v>141.0</v>
      </c>
      <c r="E14" s="1" t="s">
        <v>63</v>
      </c>
    </row>
    <row r="15">
      <c r="A15" s="1" t="s">
        <v>76</v>
      </c>
      <c r="B15" s="1">
        <v>14.0</v>
      </c>
      <c r="C15" s="1">
        <v>3.0</v>
      </c>
      <c r="D15" s="1">
        <v>144.0</v>
      </c>
      <c r="E15" s="1" t="s">
        <v>63</v>
      </c>
    </row>
    <row r="16">
      <c r="A16" s="1" t="s">
        <v>77</v>
      </c>
      <c r="B16" s="1">
        <v>15.0</v>
      </c>
      <c r="C16" s="1">
        <v>3.0</v>
      </c>
      <c r="D16" s="1">
        <v>147.0</v>
      </c>
      <c r="E16" s="1" t="s">
        <v>63</v>
      </c>
    </row>
    <row r="17">
      <c r="A17" s="1" t="s">
        <v>78</v>
      </c>
      <c r="B17" s="1">
        <v>16.0</v>
      </c>
      <c r="C17" s="1">
        <v>3.0</v>
      </c>
      <c r="D17" s="1">
        <v>150.0</v>
      </c>
      <c r="E17" s="1" t="s">
        <v>63</v>
      </c>
    </row>
    <row r="18">
      <c r="A18" s="1" t="s">
        <v>79</v>
      </c>
      <c r="B18" s="1">
        <v>17.0</v>
      </c>
      <c r="C18" s="1">
        <v>3.0</v>
      </c>
      <c r="D18" s="1">
        <v>153.0</v>
      </c>
      <c r="E18" s="1" t="s">
        <v>63</v>
      </c>
    </row>
    <row r="19">
      <c r="A19" s="1" t="s">
        <v>80</v>
      </c>
      <c r="B19" s="1">
        <v>18.0</v>
      </c>
      <c r="C19" s="1">
        <v>3.0</v>
      </c>
      <c r="D19" s="1">
        <v>156.0</v>
      </c>
      <c r="E19" s="1" t="s">
        <v>63</v>
      </c>
    </row>
    <row r="20">
      <c r="A20" s="1" t="s">
        <v>81</v>
      </c>
      <c r="B20" s="1">
        <v>19.0</v>
      </c>
      <c r="C20" s="1">
        <v>3.0</v>
      </c>
      <c r="D20" s="1">
        <v>159.0</v>
      </c>
      <c r="E20" s="1" t="s">
        <v>82</v>
      </c>
    </row>
    <row r="21" ht="15.75" customHeight="1">
      <c r="A21" s="1" t="s">
        <v>83</v>
      </c>
      <c r="B21" s="1">
        <v>20.0</v>
      </c>
      <c r="C21" s="1">
        <v>3.0</v>
      </c>
      <c r="D21" s="1">
        <v>162.0</v>
      </c>
      <c r="E21" s="1" t="s">
        <v>82</v>
      </c>
    </row>
    <row r="22" ht="15.75" customHeight="1">
      <c r="A22" s="1" t="s">
        <v>84</v>
      </c>
      <c r="B22" s="1">
        <v>21.0</v>
      </c>
      <c r="C22" s="1">
        <v>3.0</v>
      </c>
      <c r="D22" s="1">
        <v>165.0</v>
      </c>
      <c r="E22" s="1" t="s">
        <v>82</v>
      </c>
    </row>
    <row r="23" ht="15.75" customHeight="1">
      <c r="A23" s="1" t="s">
        <v>85</v>
      </c>
      <c r="B23" s="1">
        <v>22.0</v>
      </c>
      <c r="C23" s="1">
        <v>3.0</v>
      </c>
      <c r="D23" s="1">
        <v>168.0</v>
      </c>
      <c r="E23" s="1" t="s">
        <v>82</v>
      </c>
    </row>
    <row r="24" ht="15.75" customHeight="1">
      <c r="A24" s="1" t="s">
        <v>86</v>
      </c>
      <c r="B24" s="1">
        <v>23.0</v>
      </c>
      <c r="C24" s="1">
        <v>3.0</v>
      </c>
      <c r="D24" s="1">
        <v>171.0</v>
      </c>
      <c r="E24" s="1" t="s">
        <v>82</v>
      </c>
    </row>
    <row r="25" ht="15.75" customHeight="1">
      <c r="A25" s="1" t="s">
        <v>87</v>
      </c>
      <c r="B25" s="1">
        <v>24.0</v>
      </c>
      <c r="C25" s="1">
        <v>3.0</v>
      </c>
      <c r="D25" s="1">
        <v>174.0</v>
      </c>
      <c r="E25" s="1" t="s">
        <v>82</v>
      </c>
    </row>
    <row r="26" ht="15.75" customHeight="1">
      <c r="A26" s="1" t="s">
        <v>88</v>
      </c>
      <c r="B26" s="1">
        <v>25.0</v>
      </c>
      <c r="C26" s="1">
        <v>3.0</v>
      </c>
      <c r="D26" s="1">
        <v>177.0</v>
      </c>
      <c r="E26" s="1" t="s">
        <v>82</v>
      </c>
    </row>
    <row r="27" ht="15.75" customHeight="1">
      <c r="A27" s="1" t="s">
        <v>89</v>
      </c>
      <c r="B27" s="1">
        <v>26.0</v>
      </c>
      <c r="C27" s="1">
        <v>2.0</v>
      </c>
      <c r="D27" s="1">
        <v>179.0</v>
      </c>
      <c r="E27" s="1" t="s">
        <v>82</v>
      </c>
    </row>
    <row r="28" ht="15.75" customHeight="1">
      <c r="A28" s="1" t="s">
        <v>90</v>
      </c>
      <c r="B28" s="1">
        <v>27.0</v>
      </c>
      <c r="C28" s="1">
        <v>2.0</v>
      </c>
      <c r="D28" s="1">
        <v>181.0</v>
      </c>
      <c r="E28" s="1" t="s">
        <v>82</v>
      </c>
    </row>
    <row r="29" ht="15.75" customHeight="1">
      <c r="A29" s="1" t="s">
        <v>91</v>
      </c>
      <c r="B29" s="1">
        <v>28.0</v>
      </c>
      <c r="C29" s="1">
        <v>2.0</v>
      </c>
      <c r="D29" s="1">
        <v>183.0</v>
      </c>
      <c r="E29" s="1" t="s">
        <v>82</v>
      </c>
    </row>
    <row r="30" ht="15.75" customHeight="1">
      <c r="A30" s="1" t="s">
        <v>92</v>
      </c>
      <c r="B30" s="1">
        <v>29.0</v>
      </c>
      <c r="C30" s="1">
        <v>2.0</v>
      </c>
      <c r="D30" s="1">
        <v>185.0</v>
      </c>
      <c r="E30" s="1" t="s">
        <v>82</v>
      </c>
    </row>
    <row r="31" ht="15.75" customHeight="1">
      <c r="A31" s="1" t="s">
        <v>93</v>
      </c>
      <c r="B31" s="1">
        <v>30.0</v>
      </c>
      <c r="C31" s="1">
        <v>2.0</v>
      </c>
      <c r="D31" s="1">
        <v>187.0</v>
      </c>
      <c r="E31" s="1" t="s">
        <v>82</v>
      </c>
    </row>
    <row r="32" ht="15.75" customHeight="1">
      <c r="A32" s="1" t="s">
        <v>94</v>
      </c>
      <c r="B32" s="1">
        <v>31.0</v>
      </c>
      <c r="C32" s="1">
        <v>2.0</v>
      </c>
      <c r="D32" s="1">
        <v>189.0</v>
      </c>
      <c r="E32" s="1" t="s">
        <v>82</v>
      </c>
    </row>
    <row r="33" ht="15.75" customHeight="1">
      <c r="A33" s="1" t="s">
        <v>95</v>
      </c>
      <c r="B33" s="1">
        <v>32.0</v>
      </c>
      <c r="C33" s="1">
        <v>2.0</v>
      </c>
      <c r="D33" s="1">
        <v>191.0</v>
      </c>
      <c r="E33" s="1" t="s">
        <v>82</v>
      </c>
    </row>
    <row r="34" ht="15.75" customHeight="1">
      <c r="A34" s="1" t="s">
        <v>96</v>
      </c>
      <c r="B34" s="1">
        <v>33.0</v>
      </c>
      <c r="C34" s="1">
        <v>2.0</v>
      </c>
      <c r="D34" s="1">
        <v>193.0</v>
      </c>
      <c r="E34" s="1" t="s">
        <v>82</v>
      </c>
    </row>
    <row r="35" ht="15.75" customHeight="1">
      <c r="A35" s="1" t="s">
        <v>97</v>
      </c>
      <c r="B35" s="1">
        <v>34.0</v>
      </c>
      <c r="C35" s="1">
        <v>2.0</v>
      </c>
      <c r="D35" s="1">
        <v>195.0</v>
      </c>
      <c r="E35" s="1" t="s">
        <v>82</v>
      </c>
    </row>
    <row r="36" ht="15.75" customHeight="1">
      <c r="A36" s="1" t="s">
        <v>98</v>
      </c>
      <c r="B36" s="1">
        <v>35.0</v>
      </c>
      <c r="C36" s="1">
        <v>2.0</v>
      </c>
      <c r="D36" s="1">
        <v>197.0</v>
      </c>
      <c r="E36" s="1" t="s">
        <v>82</v>
      </c>
    </row>
    <row r="37" ht="15.75" customHeight="1">
      <c r="A37" s="1" t="s">
        <v>99</v>
      </c>
      <c r="B37" s="1">
        <v>36.0</v>
      </c>
      <c r="C37" s="1">
        <v>2.0</v>
      </c>
      <c r="D37" s="1">
        <v>199.0</v>
      </c>
      <c r="E37" s="1" t="s">
        <v>82</v>
      </c>
    </row>
    <row r="38" ht="15.75" customHeight="1">
      <c r="A38" s="1" t="s">
        <v>100</v>
      </c>
      <c r="B38" s="1">
        <v>37.0</v>
      </c>
      <c r="C38" s="1">
        <v>2.0</v>
      </c>
      <c r="D38" s="1">
        <v>201.0</v>
      </c>
      <c r="E38" s="1" t="s">
        <v>82</v>
      </c>
    </row>
    <row r="39" ht="15.75" customHeight="1">
      <c r="A39" s="1" t="s">
        <v>101</v>
      </c>
      <c r="B39" s="1">
        <v>38.0</v>
      </c>
      <c r="C39" s="1">
        <v>2.0</v>
      </c>
      <c r="D39" s="1">
        <v>203.0</v>
      </c>
      <c r="E39" s="1" t="s">
        <v>82</v>
      </c>
    </row>
    <row r="40" ht="15.75" customHeight="1">
      <c r="A40" s="1" t="s">
        <v>102</v>
      </c>
      <c r="B40" s="1">
        <v>39.0</v>
      </c>
      <c r="C40" s="1">
        <v>2.0</v>
      </c>
      <c r="D40" s="1">
        <v>205.0</v>
      </c>
      <c r="E40" s="1" t="s">
        <v>82</v>
      </c>
    </row>
    <row r="41" ht="15.75" customHeight="1">
      <c r="A41" s="1" t="s">
        <v>103</v>
      </c>
      <c r="B41" s="1">
        <v>40.0</v>
      </c>
      <c r="C41" s="1">
        <v>2.0</v>
      </c>
      <c r="D41" s="1">
        <v>207.0</v>
      </c>
      <c r="E41" s="1" t="s">
        <v>82</v>
      </c>
    </row>
    <row r="42" ht="15.75" customHeight="1">
      <c r="A42" s="1" t="s">
        <v>104</v>
      </c>
      <c r="B42" s="1">
        <v>41.0</v>
      </c>
      <c r="C42" s="1">
        <v>2.0</v>
      </c>
      <c r="D42" s="1">
        <v>209.0</v>
      </c>
      <c r="E42" s="1" t="s">
        <v>82</v>
      </c>
    </row>
    <row r="43" ht="15.75" customHeight="1">
      <c r="A43" s="1" t="s">
        <v>105</v>
      </c>
      <c r="B43" s="1">
        <v>42.0</v>
      </c>
      <c r="C43" s="1">
        <v>2.0</v>
      </c>
      <c r="D43" s="1">
        <v>211.0</v>
      </c>
      <c r="E43" s="1" t="s">
        <v>82</v>
      </c>
    </row>
    <row r="44" ht="15.75" customHeight="1">
      <c r="A44" s="1" t="s">
        <v>106</v>
      </c>
      <c r="B44" s="1">
        <v>43.0</v>
      </c>
      <c r="C44" s="1">
        <v>2.0</v>
      </c>
      <c r="D44" s="1">
        <v>213.0</v>
      </c>
      <c r="E44" s="1" t="s">
        <v>82</v>
      </c>
    </row>
    <row r="45" ht="15.75" customHeight="1">
      <c r="A45" s="1" t="s">
        <v>107</v>
      </c>
      <c r="B45" s="1">
        <v>44.0</v>
      </c>
      <c r="C45" s="1">
        <v>2.0</v>
      </c>
      <c r="D45" s="1">
        <v>215.0</v>
      </c>
      <c r="E45" s="1" t="s">
        <v>82</v>
      </c>
    </row>
    <row r="46" ht="15.75" customHeight="1">
      <c r="A46" s="1" t="s">
        <v>108</v>
      </c>
      <c r="B46" s="1">
        <v>45.0</v>
      </c>
      <c r="C46" s="1">
        <v>2.0</v>
      </c>
      <c r="D46" s="1">
        <v>217.0</v>
      </c>
      <c r="E46" s="1" t="s">
        <v>82</v>
      </c>
    </row>
    <row r="47" ht="15.75" customHeight="1">
      <c r="A47" s="1" t="s">
        <v>109</v>
      </c>
      <c r="B47" s="1">
        <v>46.0</v>
      </c>
      <c r="C47" s="1">
        <v>2.0</v>
      </c>
      <c r="D47" s="1">
        <v>219.0</v>
      </c>
      <c r="E47" s="1" t="s">
        <v>82</v>
      </c>
    </row>
    <row r="48" ht="15.75" customHeight="1">
      <c r="A48" s="1" t="s">
        <v>110</v>
      </c>
      <c r="B48" s="1">
        <v>47.0</v>
      </c>
      <c r="C48" s="1">
        <v>2.0</v>
      </c>
      <c r="D48" s="1">
        <v>221.0</v>
      </c>
      <c r="E48" s="1" t="s">
        <v>82</v>
      </c>
    </row>
    <row r="49" ht="15.75" customHeight="1">
      <c r="A49" s="1" t="s">
        <v>111</v>
      </c>
      <c r="B49" s="1">
        <v>48.0</v>
      </c>
      <c r="C49" s="1">
        <v>2.0</v>
      </c>
      <c r="D49" s="1">
        <v>223.0</v>
      </c>
      <c r="E49" s="1" t="s">
        <v>82</v>
      </c>
    </row>
    <row r="50" ht="15.75" customHeight="1">
      <c r="A50" s="1" t="s">
        <v>112</v>
      </c>
      <c r="B50" s="1">
        <v>49.0</v>
      </c>
      <c r="C50" s="1">
        <v>2.0</v>
      </c>
      <c r="D50" s="1">
        <v>225.0</v>
      </c>
      <c r="E50" s="1" t="s">
        <v>82</v>
      </c>
    </row>
    <row r="51" ht="15.75" customHeight="1">
      <c r="A51" s="1" t="s">
        <v>113</v>
      </c>
      <c r="B51" s="1">
        <v>50.0</v>
      </c>
      <c r="C51" s="1">
        <v>2.0</v>
      </c>
      <c r="D51" s="1">
        <v>227.0</v>
      </c>
      <c r="E51" s="1" t="s">
        <v>82</v>
      </c>
    </row>
    <row r="52" ht="15.75" customHeight="1">
      <c r="A52" s="1" t="s">
        <v>114</v>
      </c>
      <c r="B52" s="1">
        <v>51.0</v>
      </c>
      <c r="C52" s="1">
        <v>2.0</v>
      </c>
      <c r="D52" s="1">
        <v>229.0</v>
      </c>
      <c r="E52" s="1" t="s">
        <v>82</v>
      </c>
    </row>
    <row r="53" ht="15.75" customHeight="1">
      <c r="A53" s="1" t="s">
        <v>115</v>
      </c>
      <c r="B53" s="1">
        <v>52.0</v>
      </c>
      <c r="C53" s="1">
        <v>2.0</v>
      </c>
      <c r="D53" s="1">
        <v>231.0</v>
      </c>
      <c r="E53" s="1" t="s">
        <v>82</v>
      </c>
    </row>
    <row r="54" ht="15.75" customHeight="1">
      <c r="A54" s="1" t="s">
        <v>116</v>
      </c>
      <c r="B54" s="1">
        <v>53.0</v>
      </c>
      <c r="C54" s="1">
        <v>2.0</v>
      </c>
      <c r="D54" s="1">
        <v>233.0</v>
      </c>
      <c r="E54" s="1" t="s">
        <v>82</v>
      </c>
    </row>
    <row r="55" ht="15.75" customHeight="1">
      <c r="A55" s="1" t="s">
        <v>117</v>
      </c>
      <c r="B55" s="1">
        <v>54.0</v>
      </c>
      <c r="C55" s="1">
        <v>2.0</v>
      </c>
      <c r="D55" s="1">
        <v>235.0</v>
      </c>
      <c r="E55" s="1" t="s">
        <v>82</v>
      </c>
    </row>
    <row r="56" ht="15.75" customHeight="1">
      <c r="A56" s="1" t="s">
        <v>118</v>
      </c>
      <c r="B56" s="1">
        <v>55.0</v>
      </c>
      <c r="C56" s="1">
        <v>2.0</v>
      </c>
      <c r="D56" s="1">
        <v>237.0</v>
      </c>
      <c r="E56" s="1" t="s">
        <v>82</v>
      </c>
    </row>
    <row r="57" ht="15.75" customHeight="1">
      <c r="A57" s="1" t="s">
        <v>119</v>
      </c>
      <c r="B57" s="1">
        <v>56.0</v>
      </c>
      <c r="C57" s="1">
        <v>2.0</v>
      </c>
      <c r="D57" s="1">
        <v>239.0</v>
      </c>
      <c r="E57" s="1" t="s">
        <v>82</v>
      </c>
    </row>
    <row r="58" ht="15.75" customHeight="1">
      <c r="A58" s="1" t="s">
        <v>120</v>
      </c>
      <c r="B58" s="1">
        <v>57.0</v>
      </c>
      <c r="C58" s="1">
        <v>2.0</v>
      </c>
      <c r="D58" s="1">
        <v>241.0</v>
      </c>
      <c r="E58" s="1" t="s">
        <v>82</v>
      </c>
    </row>
    <row r="59" ht="15.75" customHeight="1">
      <c r="A59" s="1" t="s">
        <v>121</v>
      </c>
      <c r="B59" s="1">
        <v>58.0</v>
      </c>
      <c r="C59" s="1">
        <v>2.0</v>
      </c>
      <c r="D59" s="1">
        <v>243.0</v>
      </c>
      <c r="E59" s="1" t="s">
        <v>82</v>
      </c>
    </row>
    <row r="60" ht="15.75" customHeight="1">
      <c r="A60" s="1" t="s">
        <v>122</v>
      </c>
      <c r="B60" s="1">
        <v>59.0</v>
      </c>
      <c r="C60" s="1">
        <v>2.0</v>
      </c>
      <c r="D60" s="1">
        <v>245.0</v>
      </c>
      <c r="E60" s="1" t="s">
        <v>82</v>
      </c>
    </row>
    <row r="61" ht="15.75" customHeight="1">
      <c r="A61" s="1" t="s">
        <v>123</v>
      </c>
      <c r="B61" s="1">
        <v>60.0</v>
      </c>
      <c r="C61" s="1">
        <v>2.0</v>
      </c>
      <c r="D61" s="1">
        <v>247.0</v>
      </c>
      <c r="E61" s="1" t="s">
        <v>82</v>
      </c>
    </row>
    <row r="62" ht="15.75" customHeight="1">
      <c r="A62" s="1" t="s">
        <v>124</v>
      </c>
      <c r="B62" s="1">
        <v>61.0</v>
      </c>
      <c r="C62" s="1">
        <v>2.0</v>
      </c>
      <c r="D62" s="1">
        <v>249.0</v>
      </c>
      <c r="E62" s="1" t="s">
        <v>82</v>
      </c>
    </row>
    <row r="63" ht="15.75" customHeight="1">
      <c r="A63" s="1" t="s">
        <v>125</v>
      </c>
      <c r="B63" s="1">
        <v>62.0</v>
      </c>
      <c r="C63" s="1">
        <v>2.0</v>
      </c>
      <c r="D63" s="1">
        <v>251.0</v>
      </c>
      <c r="E63" s="1" t="s">
        <v>82</v>
      </c>
    </row>
    <row r="64" ht="15.75" customHeight="1">
      <c r="A64" s="1" t="s">
        <v>126</v>
      </c>
      <c r="B64" s="1">
        <v>63.0</v>
      </c>
      <c r="C64" s="1">
        <v>1.0</v>
      </c>
      <c r="D64" s="1">
        <v>252.0</v>
      </c>
      <c r="E64" s="1" t="s">
        <v>82</v>
      </c>
    </row>
    <row r="65" ht="15.75" customHeight="1">
      <c r="A65" s="1" t="s">
        <v>127</v>
      </c>
      <c r="B65" s="1">
        <v>64.0</v>
      </c>
      <c r="C65" s="1">
        <v>1.0</v>
      </c>
      <c r="D65" s="1">
        <v>253.0</v>
      </c>
      <c r="E65" s="1" t="s">
        <v>82</v>
      </c>
    </row>
    <row r="66" ht="15.75" customHeight="1">
      <c r="A66" s="1" t="s">
        <v>128</v>
      </c>
      <c r="B66" s="1">
        <v>65.0</v>
      </c>
      <c r="C66" s="1">
        <v>1.0</v>
      </c>
      <c r="D66" s="1">
        <v>254.0</v>
      </c>
      <c r="E66" s="1" t="s">
        <v>82</v>
      </c>
    </row>
    <row r="67" ht="15.75" customHeight="1">
      <c r="A67" s="1" t="s">
        <v>129</v>
      </c>
      <c r="B67" s="1">
        <v>66.0</v>
      </c>
      <c r="C67" s="1">
        <v>1.0</v>
      </c>
      <c r="D67" s="1">
        <v>255.0</v>
      </c>
      <c r="E67" s="1" t="s">
        <v>82</v>
      </c>
    </row>
    <row r="68" ht="15.75" customHeight="1">
      <c r="A68" s="1" t="s">
        <v>130</v>
      </c>
      <c r="B68" s="1">
        <v>67.0</v>
      </c>
      <c r="C68" s="1">
        <v>1.0</v>
      </c>
      <c r="D68" s="1">
        <v>256.0</v>
      </c>
      <c r="E68" s="1" t="s">
        <v>82</v>
      </c>
    </row>
    <row r="69" ht="15.75" customHeight="1">
      <c r="A69" s="1" t="s">
        <v>131</v>
      </c>
      <c r="B69" s="1">
        <v>68.0</v>
      </c>
      <c r="C69" s="1">
        <v>1.0</v>
      </c>
      <c r="D69" s="1">
        <v>257.0</v>
      </c>
      <c r="E69" s="1" t="s">
        <v>82</v>
      </c>
    </row>
    <row r="70" ht="15.75" customHeight="1">
      <c r="A70" s="1" t="s">
        <v>132</v>
      </c>
      <c r="B70" s="1">
        <v>69.0</v>
      </c>
      <c r="C70" s="1">
        <v>1.0</v>
      </c>
      <c r="D70" s="1">
        <v>258.0</v>
      </c>
      <c r="E70" s="1" t="s">
        <v>82</v>
      </c>
    </row>
    <row r="71" ht="15.75" customHeight="1">
      <c r="A71" s="1" t="s">
        <v>133</v>
      </c>
      <c r="B71" s="1">
        <v>70.0</v>
      </c>
      <c r="C71" s="1">
        <v>1.0</v>
      </c>
      <c r="D71" s="1">
        <v>259.0</v>
      </c>
      <c r="E71" s="1" t="s">
        <v>82</v>
      </c>
    </row>
    <row r="72" ht="15.75" customHeight="1">
      <c r="A72" s="1" t="s">
        <v>134</v>
      </c>
      <c r="B72" s="1">
        <v>71.0</v>
      </c>
      <c r="C72" s="1">
        <v>1.0</v>
      </c>
      <c r="D72" s="1">
        <v>260.0</v>
      </c>
      <c r="E72" s="1" t="s">
        <v>82</v>
      </c>
    </row>
    <row r="73" ht="15.75" customHeight="1">
      <c r="A73" s="1" t="s">
        <v>135</v>
      </c>
      <c r="B73" s="1">
        <v>72.0</v>
      </c>
      <c r="C73" s="1">
        <v>1.0</v>
      </c>
      <c r="D73" s="1">
        <v>261.0</v>
      </c>
      <c r="E73" s="1" t="s">
        <v>82</v>
      </c>
    </row>
    <row r="74" ht="15.75" customHeight="1">
      <c r="A74" s="1" t="s">
        <v>136</v>
      </c>
      <c r="B74" s="1">
        <v>73.0</v>
      </c>
      <c r="C74" s="1">
        <v>1.0</v>
      </c>
      <c r="D74" s="1">
        <v>262.0</v>
      </c>
      <c r="E74" s="1" t="s">
        <v>82</v>
      </c>
    </row>
    <row r="75" ht="15.75" customHeight="1">
      <c r="A75" s="1" t="s">
        <v>137</v>
      </c>
      <c r="B75" s="1">
        <v>74.0</v>
      </c>
      <c r="C75" s="1">
        <v>1.0</v>
      </c>
      <c r="D75" s="1">
        <v>263.0</v>
      </c>
      <c r="E75" s="1" t="s">
        <v>82</v>
      </c>
    </row>
    <row r="76" ht="15.75" customHeight="1">
      <c r="A76" s="1" t="s">
        <v>138</v>
      </c>
      <c r="B76" s="1">
        <v>75.0</v>
      </c>
      <c r="C76" s="1">
        <v>1.0</v>
      </c>
      <c r="D76" s="1">
        <v>264.0</v>
      </c>
      <c r="E76" s="1" t="s">
        <v>82</v>
      </c>
    </row>
    <row r="77" ht="15.75" customHeight="1">
      <c r="A77" s="1" t="s">
        <v>139</v>
      </c>
      <c r="B77" s="1">
        <v>76.0</v>
      </c>
      <c r="C77" s="1">
        <v>1.0</v>
      </c>
      <c r="D77" s="1">
        <v>265.0</v>
      </c>
      <c r="E77" s="1" t="s">
        <v>82</v>
      </c>
    </row>
    <row r="78" ht="15.75" customHeight="1">
      <c r="A78" s="1" t="s">
        <v>140</v>
      </c>
      <c r="B78" s="1">
        <v>77.0</v>
      </c>
      <c r="C78" s="1">
        <v>1.0</v>
      </c>
      <c r="D78" s="1">
        <v>266.0</v>
      </c>
      <c r="E78" s="1" t="s">
        <v>82</v>
      </c>
    </row>
    <row r="79" ht="15.75" customHeight="1">
      <c r="A79" s="1" t="s">
        <v>141</v>
      </c>
      <c r="B79" s="1">
        <v>78.0</v>
      </c>
      <c r="C79" s="1">
        <v>1.0</v>
      </c>
      <c r="D79" s="1">
        <v>267.0</v>
      </c>
      <c r="E79" s="1" t="s">
        <v>82</v>
      </c>
    </row>
    <row r="80" ht="15.75" customHeight="1">
      <c r="A80" s="1" t="s">
        <v>142</v>
      </c>
      <c r="B80" s="1">
        <v>79.0</v>
      </c>
      <c r="C80" s="1">
        <v>1.0</v>
      </c>
      <c r="D80" s="1">
        <v>268.0</v>
      </c>
      <c r="E80" s="1" t="s">
        <v>82</v>
      </c>
    </row>
    <row r="81" ht="15.75" customHeight="1">
      <c r="A81" s="1" t="s">
        <v>143</v>
      </c>
      <c r="B81" s="1">
        <v>80.0</v>
      </c>
      <c r="C81" s="1">
        <v>1.0</v>
      </c>
      <c r="D81" s="1">
        <v>269.0</v>
      </c>
      <c r="E81" s="1" t="s">
        <v>82</v>
      </c>
    </row>
    <row r="82" ht="15.75" customHeight="1">
      <c r="A82" s="1" t="s">
        <v>144</v>
      </c>
      <c r="B82" s="1">
        <v>81.0</v>
      </c>
      <c r="C82" s="1">
        <v>1.0</v>
      </c>
      <c r="D82" s="1">
        <v>270.0</v>
      </c>
      <c r="E82" s="1" t="s">
        <v>82</v>
      </c>
    </row>
    <row r="83" ht="15.75" customHeight="1">
      <c r="A83" s="1" t="s">
        <v>145</v>
      </c>
      <c r="B83" s="1">
        <v>82.0</v>
      </c>
      <c r="C83" s="1">
        <v>1.0</v>
      </c>
      <c r="D83" s="1">
        <v>271.0</v>
      </c>
      <c r="E83" s="1" t="s">
        <v>82</v>
      </c>
    </row>
    <row r="84" ht="15.75" customHeight="1">
      <c r="A84" s="1" t="s">
        <v>146</v>
      </c>
      <c r="B84" s="1">
        <v>83.0</v>
      </c>
      <c r="C84" s="1">
        <v>1.0</v>
      </c>
      <c r="D84" s="1">
        <v>272.0</v>
      </c>
      <c r="E84" s="1" t="s">
        <v>82</v>
      </c>
    </row>
    <row r="85" ht="15.75" customHeight="1">
      <c r="A85" s="1" t="s">
        <v>147</v>
      </c>
      <c r="B85" s="1">
        <v>84.0</v>
      </c>
      <c r="C85" s="1">
        <v>1.0</v>
      </c>
      <c r="D85" s="1">
        <v>273.0</v>
      </c>
      <c r="E85" s="1" t="s">
        <v>82</v>
      </c>
    </row>
    <row r="86" ht="15.75" customHeight="1">
      <c r="A86" s="1" t="s">
        <v>148</v>
      </c>
      <c r="B86" s="1">
        <v>85.0</v>
      </c>
      <c r="C86" s="1">
        <v>1.0</v>
      </c>
      <c r="D86" s="1">
        <v>274.0</v>
      </c>
      <c r="E86" s="1" t="s">
        <v>82</v>
      </c>
    </row>
    <row r="87" ht="15.75" customHeight="1">
      <c r="A87" s="1" t="s">
        <v>149</v>
      </c>
      <c r="B87" s="1">
        <v>86.0</v>
      </c>
      <c r="C87" s="1">
        <v>1.0</v>
      </c>
      <c r="D87" s="1">
        <v>275.0</v>
      </c>
      <c r="E87" s="1" t="s">
        <v>82</v>
      </c>
    </row>
    <row r="88" ht="15.75" customHeight="1">
      <c r="A88" s="1" t="s">
        <v>150</v>
      </c>
      <c r="B88" s="1">
        <v>87.0</v>
      </c>
      <c r="C88" s="1">
        <v>1.0</v>
      </c>
      <c r="D88" s="1">
        <v>276.0</v>
      </c>
      <c r="E88" s="1" t="s">
        <v>82</v>
      </c>
    </row>
    <row r="89" ht="15.75" customHeight="1">
      <c r="A89" s="1" t="s">
        <v>151</v>
      </c>
      <c r="B89" s="1">
        <v>88.0</v>
      </c>
      <c r="C89" s="1">
        <v>1.0</v>
      </c>
      <c r="D89" s="1">
        <v>277.0</v>
      </c>
      <c r="E89" s="1" t="s">
        <v>82</v>
      </c>
    </row>
    <row r="90" ht="15.75" customHeight="1">
      <c r="A90" s="1" t="s">
        <v>152</v>
      </c>
      <c r="B90" s="1">
        <v>89.0</v>
      </c>
      <c r="C90" s="1">
        <v>1.0</v>
      </c>
      <c r="D90" s="1">
        <v>278.0</v>
      </c>
      <c r="E90" s="1" t="s">
        <v>82</v>
      </c>
    </row>
    <row r="91" ht="15.75" customHeight="1">
      <c r="A91" s="1" t="s">
        <v>153</v>
      </c>
      <c r="B91" s="1">
        <v>90.0</v>
      </c>
      <c r="C91" s="1">
        <v>1.0</v>
      </c>
      <c r="D91" s="1">
        <v>279.0</v>
      </c>
      <c r="E91" s="1" t="s">
        <v>82</v>
      </c>
    </row>
    <row r="92" ht="15.75" customHeight="1">
      <c r="A92" s="1" t="s">
        <v>154</v>
      </c>
      <c r="B92" s="1">
        <v>91.0</v>
      </c>
      <c r="C92" s="1">
        <v>1.0</v>
      </c>
      <c r="D92" s="1">
        <v>280.0</v>
      </c>
      <c r="E92" s="1" t="s">
        <v>82</v>
      </c>
    </row>
    <row r="93" ht="15.75" customHeight="1">
      <c r="A93" s="1" t="s">
        <v>155</v>
      </c>
      <c r="B93" s="1">
        <v>92.0</v>
      </c>
      <c r="C93" s="1">
        <v>1.0</v>
      </c>
      <c r="D93" s="1">
        <v>281.0</v>
      </c>
      <c r="E93" s="1" t="s">
        <v>82</v>
      </c>
    </row>
    <row r="94" ht="15.75" customHeight="1">
      <c r="A94" s="1" t="s">
        <v>156</v>
      </c>
      <c r="B94" s="1">
        <v>93.0</v>
      </c>
      <c r="C94" s="1">
        <v>1.0</v>
      </c>
      <c r="D94" s="1">
        <v>282.0</v>
      </c>
      <c r="E94" s="1" t="s">
        <v>82</v>
      </c>
    </row>
    <row r="95" ht="15.75" customHeight="1">
      <c r="A95" s="1" t="s">
        <v>157</v>
      </c>
      <c r="B95" s="1">
        <v>94.0</v>
      </c>
      <c r="C95" s="1">
        <v>1.0</v>
      </c>
      <c r="D95" s="1">
        <v>283.0</v>
      </c>
      <c r="E95" s="1" t="s">
        <v>82</v>
      </c>
    </row>
    <row r="96" ht="15.75" customHeight="1">
      <c r="A96" s="1" t="s">
        <v>158</v>
      </c>
      <c r="B96" s="1">
        <v>95.0</v>
      </c>
      <c r="C96" s="1">
        <v>1.0</v>
      </c>
      <c r="D96" s="1">
        <v>284.0</v>
      </c>
      <c r="E96" s="1" t="s">
        <v>82</v>
      </c>
    </row>
    <row r="97" ht="15.75" customHeight="1">
      <c r="A97" s="1" t="s">
        <v>159</v>
      </c>
      <c r="B97" s="1">
        <v>96.0</v>
      </c>
      <c r="C97" s="1">
        <v>1.0</v>
      </c>
      <c r="D97" s="1">
        <v>285.0</v>
      </c>
      <c r="E97" s="1" t="s">
        <v>82</v>
      </c>
    </row>
    <row r="98" ht="15.75" customHeight="1">
      <c r="A98" s="1" t="s">
        <v>160</v>
      </c>
      <c r="B98" s="1">
        <v>97.0</v>
      </c>
      <c r="C98" s="1">
        <v>1.0</v>
      </c>
      <c r="D98" s="1">
        <v>286.0</v>
      </c>
      <c r="E98" s="1" t="s">
        <v>82</v>
      </c>
    </row>
    <row r="99" ht="15.75" customHeight="1">
      <c r="A99" s="1" t="s">
        <v>161</v>
      </c>
      <c r="B99" s="1">
        <v>98.0</v>
      </c>
      <c r="C99" s="1">
        <v>1.0</v>
      </c>
      <c r="D99" s="1">
        <v>287.0</v>
      </c>
      <c r="E99" s="1" t="s">
        <v>82</v>
      </c>
    </row>
    <row r="100" ht="15.75" customHeight="1">
      <c r="A100" s="1" t="s">
        <v>162</v>
      </c>
      <c r="B100" s="1">
        <v>99.0</v>
      </c>
      <c r="C100" s="1">
        <v>1.0</v>
      </c>
      <c r="D100" s="1">
        <v>288.0</v>
      </c>
      <c r="E100" s="1" t="s">
        <v>82</v>
      </c>
    </row>
    <row r="101" ht="15.75" customHeight="1">
      <c r="A101" s="1" t="s">
        <v>163</v>
      </c>
      <c r="B101" s="1">
        <v>100.0</v>
      </c>
      <c r="C101" s="1">
        <v>1.0</v>
      </c>
      <c r="D101" s="1">
        <v>289.0</v>
      </c>
      <c r="E101" s="1" t="s">
        <v>82</v>
      </c>
    </row>
    <row r="102" ht="15.75" customHeight="1">
      <c r="A102" s="1" t="s">
        <v>164</v>
      </c>
      <c r="B102" s="1">
        <v>101.0</v>
      </c>
      <c r="C102" s="1">
        <v>1.0</v>
      </c>
      <c r="D102" s="1">
        <v>290.0</v>
      </c>
      <c r="E102" s="1" t="s">
        <v>82</v>
      </c>
    </row>
    <row r="103" ht="15.75" customHeight="1">
      <c r="A103" s="1" t="s">
        <v>165</v>
      </c>
      <c r="B103" s="1">
        <v>102.0</v>
      </c>
      <c r="C103" s="1">
        <v>1.0</v>
      </c>
      <c r="D103" s="1">
        <v>291.0</v>
      </c>
      <c r="E103" s="1" t="s">
        <v>82</v>
      </c>
    </row>
    <row r="104" ht="15.75" customHeight="1">
      <c r="A104" s="1" t="s">
        <v>166</v>
      </c>
      <c r="B104" s="1">
        <v>103.0</v>
      </c>
      <c r="C104" s="1">
        <v>1.0</v>
      </c>
      <c r="D104" s="1">
        <v>292.0</v>
      </c>
      <c r="E104" s="1" t="s">
        <v>82</v>
      </c>
    </row>
    <row r="105" ht="15.75" customHeight="1">
      <c r="A105" s="1" t="s">
        <v>167</v>
      </c>
      <c r="B105" s="1">
        <v>104.0</v>
      </c>
      <c r="C105" s="1">
        <v>1.0</v>
      </c>
      <c r="D105" s="1">
        <v>293.0</v>
      </c>
      <c r="E105" s="1" t="s">
        <v>82</v>
      </c>
    </row>
    <row r="106" ht="15.75" customHeight="1">
      <c r="A106" s="1" t="s">
        <v>168</v>
      </c>
      <c r="B106" s="1">
        <v>105.0</v>
      </c>
      <c r="C106" s="1">
        <v>1.0</v>
      </c>
      <c r="D106" s="1">
        <v>294.0</v>
      </c>
      <c r="E106" s="1" t="s">
        <v>82</v>
      </c>
    </row>
    <row r="107" ht="15.75" customHeight="1">
      <c r="A107" s="1" t="s">
        <v>169</v>
      </c>
      <c r="B107" s="1">
        <v>106.0</v>
      </c>
      <c r="C107" s="1">
        <v>1.0</v>
      </c>
      <c r="D107" s="1">
        <v>295.0</v>
      </c>
      <c r="E107" s="1" t="s">
        <v>82</v>
      </c>
    </row>
    <row r="108" ht="15.75" customHeight="1">
      <c r="A108" s="1" t="s">
        <v>170</v>
      </c>
      <c r="B108" s="1">
        <v>107.0</v>
      </c>
      <c r="C108" s="1">
        <v>1.0</v>
      </c>
      <c r="D108" s="1">
        <v>296.0</v>
      </c>
      <c r="E108" s="1" t="s">
        <v>82</v>
      </c>
    </row>
    <row r="109" ht="15.75" customHeight="1">
      <c r="A109" s="1" t="s">
        <v>171</v>
      </c>
      <c r="B109" s="1">
        <v>108.0</v>
      </c>
      <c r="C109" s="1">
        <v>1.0</v>
      </c>
      <c r="D109" s="1">
        <v>297.0</v>
      </c>
      <c r="E109" s="1" t="s">
        <v>82</v>
      </c>
    </row>
    <row r="110" ht="15.75" customHeight="1">
      <c r="A110" s="1" t="s">
        <v>172</v>
      </c>
      <c r="B110" s="1">
        <v>109.0</v>
      </c>
      <c r="C110" s="1">
        <v>1.0</v>
      </c>
      <c r="D110" s="1">
        <v>298.0</v>
      </c>
      <c r="E110" s="1" t="s">
        <v>82</v>
      </c>
    </row>
    <row r="111" ht="15.75" customHeight="1">
      <c r="A111" s="1" t="s">
        <v>173</v>
      </c>
      <c r="B111" s="1">
        <v>110.0</v>
      </c>
      <c r="C111" s="1">
        <v>1.0</v>
      </c>
      <c r="D111" s="1">
        <v>299.0</v>
      </c>
      <c r="E111" s="1" t="s">
        <v>82</v>
      </c>
    </row>
    <row r="112" ht="15.75" customHeight="1">
      <c r="A112" s="1" t="s">
        <v>174</v>
      </c>
      <c r="B112" s="1">
        <v>111.0</v>
      </c>
      <c r="C112" s="1">
        <v>1.0</v>
      </c>
      <c r="D112" s="1">
        <v>300.0</v>
      </c>
      <c r="E112" s="1" t="s">
        <v>82</v>
      </c>
    </row>
    <row r="113" ht="15.75" customHeight="1">
      <c r="A113" s="1" t="s">
        <v>175</v>
      </c>
      <c r="B113" s="1">
        <v>112.0</v>
      </c>
      <c r="C113" s="1">
        <v>1.0</v>
      </c>
      <c r="D113" s="1">
        <v>301.0</v>
      </c>
      <c r="E113" s="1" t="s">
        <v>82</v>
      </c>
    </row>
    <row r="114" ht="15.75" customHeight="1">
      <c r="A114" s="1" t="s">
        <v>176</v>
      </c>
      <c r="B114" s="1">
        <v>113.0</v>
      </c>
      <c r="C114" s="1">
        <v>1.0</v>
      </c>
      <c r="D114" s="1">
        <v>302.0</v>
      </c>
      <c r="E114" s="1" t="s">
        <v>82</v>
      </c>
    </row>
    <row r="115" ht="15.75" customHeight="1">
      <c r="A115" s="1" t="s">
        <v>177</v>
      </c>
      <c r="B115" s="1">
        <v>114.0</v>
      </c>
      <c r="C115" s="1">
        <v>1.0</v>
      </c>
      <c r="D115" s="1">
        <v>303.0</v>
      </c>
      <c r="E115" s="1" t="s">
        <v>82</v>
      </c>
    </row>
    <row r="116" ht="15.75" customHeight="1">
      <c r="A116" s="1" t="s">
        <v>178</v>
      </c>
      <c r="B116" s="1">
        <v>115.0</v>
      </c>
      <c r="C116" s="1">
        <v>1.0</v>
      </c>
      <c r="D116" s="1">
        <v>304.0</v>
      </c>
      <c r="E116" s="1" t="s">
        <v>82</v>
      </c>
    </row>
    <row r="117" ht="15.75" customHeight="1">
      <c r="A117" s="1" t="s">
        <v>179</v>
      </c>
      <c r="B117" s="1">
        <v>116.0</v>
      </c>
      <c r="C117" s="1">
        <v>1.0</v>
      </c>
      <c r="D117" s="1">
        <v>305.0</v>
      </c>
      <c r="E117" s="1" t="s">
        <v>82</v>
      </c>
    </row>
    <row r="118" ht="15.75" customHeight="1">
      <c r="A118" s="1" t="s">
        <v>180</v>
      </c>
      <c r="B118" s="1">
        <v>117.0</v>
      </c>
      <c r="C118" s="1">
        <v>1.0</v>
      </c>
      <c r="D118" s="1">
        <v>306.0</v>
      </c>
      <c r="E118" s="1" t="s">
        <v>82</v>
      </c>
    </row>
    <row r="119" ht="15.75" customHeight="1">
      <c r="A119" s="1" t="s">
        <v>181</v>
      </c>
      <c r="B119" s="1">
        <v>118.0</v>
      </c>
      <c r="C119" s="1">
        <v>1.0</v>
      </c>
      <c r="D119" s="1">
        <v>307.0</v>
      </c>
      <c r="E119" s="1" t="s">
        <v>82</v>
      </c>
    </row>
    <row r="120" ht="15.75" customHeight="1">
      <c r="A120" s="1" t="s">
        <v>182</v>
      </c>
      <c r="B120" s="1">
        <v>119.0</v>
      </c>
      <c r="C120" s="1">
        <v>1.0</v>
      </c>
      <c r="D120" s="1">
        <v>308.0</v>
      </c>
      <c r="E120" s="1" t="s">
        <v>82</v>
      </c>
    </row>
    <row r="121" ht="15.75" customHeight="1">
      <c r="A121" s="1" t="s">
        <v>183</v>
      </c>
      <c r="B121" s="1">
        <v>120.0</v>
      </c>
      <c r="C121" s="1">
        <v>1.0</v>
      </c>
      <c r="D121" s="1">
        <v>309.0</v>
      </c>
      <c r="E121" s="1" t="s">
        <v>82</v>
      </c>
    </row>
    <row r="122" ht="15.75" customHeight="1">
      <c r="A122" s="1" t="s">
        <v>184</v>
      </c>
      <c r="B122" s="1">
        <v>121.0</v>
      </c>
      <c r="C122" s="1">
        <v>1.0</v>
      </c>
      <c r="D122" s="1">
        <v>310.0</v>
      </c>
      <c r="E122" s="1" t="s">
        <v>82</v>
      </c>
    </row>
    <row r="123" ht="15.75" customHeight="1">
      <c r="A123" s="1" t="s">
        <v>185</v>
      </c>
      <c r="B123" s="1">
        <v>122.0</v>
      </c>
      <c r="C123" s="1">
        <v>1.0</v>
      </c>
      <c r="D123" s="1">
        <v>311.0</v>
      </c>
      <c r="E123" s="1" t="s">
        <v>82</v>
      </c>
    </row>
    <row r="124" ht="15.75" customHeight="1">
      <c r="A124" s="1" t="s">
        <v>186</v>
      </c>
      <c r="B124" s="1">
        <v>123.0</v>
      </c>
      <c r="C124" s="1">
        <v>1.0</v>
      </c>
      <c r="D124" s="1">
        <v>312.0</v>
      </c>
      <c r="E124" s="1" t="s">
        <v>187</v>
      </c>
    </row>
    <row r="125" ht="15.75" customHeight="1">
      <c r="A125" s="1" t="s">
        <v>188</v>
      </c>
      <c r="B125" s="1">
        <v>124.0</v>
      </c>
      <c r="C125" s="1">
        <v>1.0</v>
      </c>
      <c r="D125" s="1">
        <v>313.0</v>
      </c>
      <c r="E125" s="1" t="s">
        <v>187</v>
      </c>
    </row>
    <row r="126" ht="15.75" customHeight="1">
      <c r="A126" s="1" t="s">
        <v>189</v>
      </c>
      <c r="B126" s="1">
        <v>125.0</v>
      </c>
      <c r="C126" s="1">
        <v>1.0</v>
      </c>
      <c r="D126" s="1">
        <v>314.0</v>
      </c>
      <c r="E126" s="1" t="s">
        <v>187</v>
      </c>
    </row>
    <row r="127" ht="15.75" customHeight="1">
      <c r="A127" s="1" t="s">
        <v>190</v>
      </c>
      <c r="B127" s="1">
        <v>126.0</v>
      </c>
      <c r="C127" s="1">
        <v>1.0</v>
      </c>
      <c r="D127" s="1">
        <v>315.0</v>
      </c>
      <c r="E127" s="1" t="s">
        <v>187</v>
      </c>
    </row>
    <row r="128" ht="15.75" customHeight="1">
      <c r="A128" s="1" t="s">
        <v>191</v>
      </c>
      <c r="B128" s="1">
        <v>127.0</v>
      </c>
      <c r="C128" s="1">
        <v>1.0</v>
      </c>
      <c r="D128" s="1">
        <v>316.0</v>
      </c>
      <c r="E128" s="1" t="s">
        <v>187</v>
      </c>
    </row>
    <row r="129" ht="15.75" customHeight="1">
      <c r="A129" s="1" t="s">
        <v>192</v>
      </c>
      <c r="B129" s="1">
        <v>128.0</v>
      </c>
      <c r="C129" s="1">
        <v>1.0</v>
      </c>
      <c r="D129" s="1">
        <v>317.0</v>
      </c>
      <c r="E129" s="1" t="s">
        <v>187</v>
      </c>
    </row>
    <row r="130" ht="15.75" customHeight="1">
      <c r="A130" s="1" t="s">
        <v>193</v>
      </c>
      <c r="B130" s="1">
        <v>129.0</v>
      </c>
      <c r="C130" s="1">
        <v>1.0</v>
      </c>
      <c r="D130" s="1">
        <v>318.0</v>
      </c>
      <c r="E130" s="1" t="s">
        <v>187</v>
      </c>
    </row>
    <row r="131" ht="15.75" customHeight="1">
      <c r="A131" s="1" t="s">
        <v>194</v>
      </c>
      <c r="B131" s="1">
        <v>130.0</v>
      </c>
      <c r="C131" s="1">
        <v>1.0</v>
      </c>
      <c r="D131" s="1">
        <v>319.0</v>
      </c>
      <c r="E131" s="1" t="s">
        <v>187</v>
      </c>
    </row>
    <row r="132" ht="15.75" customHeight="1">
      <c r="A132" s="1" t="s">
        <v>195</v>
      </c>
      <c r="B132" s="1">
        <v>131.0</v>
      </c>
      <c r="C132" s="1">
        <v>1.0</v>
      </c>
      <c r="D132" s="1">
        <v>320.0</v>
      </c>
      <c r="E132" s="1" t="s">
        <v>187</v>
      </c>
    </row>
    <row r="133" ht="15.75" customHeight="1">
      <c r="A133" s="1" t="s">
        <v>196</v>
      </c>
      <c r="B133" s="1">
        <v>132.0</v>
      </c>
      <c r="C133" s="1">
        <v>1.0</v>
      </c>
      <c r="D133" s="1">
        <v>321.0</v>
      </c>
      <c r="E133" s="1" t="s">
        <v>187</v>
      </c>
    </row>
    <row r="134" ht="15.75" customHeight="1">
      <c r="A134" s="1" t="s">
        <v>197</v>
      </c>
      <c r="B134" s="1">
        <v>133.0</v>
      </c>
      <c r="C134" s="1">
        <v>1.0</v>
      </c>
      <c r="D134" s="1">
        <v>322.0</v>
      </c>
      <c r="E134" s="1" t="s">
        <v>187</v>
      </c>
    </row>
    <row r="135" ht="15.75" customHeight="1">
      <c r="A135" s="1" t="s">
        <v>198</v>
      </c>
      <c r="B135" s="1">
        <v>134.0</v>
      </c>
      <c r="C135" s="1">
        <v>1.0</v>
      </c>
      <c r="D135" s="1">
        <v>323.0</v>
      </c>
      <c r="E135" s="1" t="s">
        <v>187</v>
      </c>
    </row>
    <row r="136" ht="15.75" customHeight="1">
      <c r="A136" s="1" t="s">
        <v>199</v>
      </c>
      <c r="B136" s="1">
        <v>135.0</v>
      </c>
      <c r="C136" s="1">
        <v>1.0</v>
      </c>
      <c r="D136" s="1">
        <v>324.0</v>
      </c>
      <c r="E136" s="1" t="s">
        <v>187</v>
      </c>
    </row>
    <row r="137" ht="15.75" customHeight="1">
      <c r="A137" s="1" t="s">
        <v>200</v>
      </c>
      <c r="B137" s="1">
        <v>136.0</v>
      </c>
      <c r="C137" s="1">
        <v>1.0</v>
      </c>
      <c r="D137" s="1">
        <v>325.0</v>
      </c>
      <c r="E137" s="1" t="s">
        <v>187</v>
      </c>
    </row>
    <row r="138" ht="15.75" customHeight="1">
      <c r="A138" s="1" t="s">
        <v>201</v>
      </c>
      <c r="B138" s="1">
        <v>137.0</v>
      </c>
      <c r="C138" s="1">
        <v>1.0</v>
      </c>
      <c r="D138" s="1">
        <v>326.0</v>
      </c>
      <c r="E138" s="1" t="s">
        <v>187</v>
      </c>
    </row>
    <row r="139" ht="15.75" customHeight="1">
      <c r="A139" s="1" t="s">
        <v>202</v>
      </c>
      <c r="B139" s="1">
        <v>138.0</v>
      </c>
      <c r="C139" s="1">
        <v>1.0</v>
      </c>
      <c r="D139" s="1">
        <v>327.0</v>
      </c>
      <c r="E139" s="1" t="s">
        <v>187</v>
      </c>
    </row>
    <row r="140" ht="15.75" customHeight="1">
      <c r="A140" s="1" t="s">
        <v>203</v>
      </c>
      <c r="B140" s="1">
        <v>139.0</v>
      </c>
      <c r="C140" s="1">
        <v>1.0</v>
      </c>
      <c r="D140" s="1">
        <v>328.0</v>
      </c>
      <c r="E140" s="1" t="s">
        <v>187</v>
      </c>
    </row>
    <row r="141" ht="15.75" customHeight="1">
      <c r="A141" s="1" t="s">
        <v>204</v>
      </c>
      <c r="B141" s="1">
        <v>140.0</v>
      </c>
      <c r="C141" s="1">
        <v>1.0</v>
      </c>
      <c r="D141" s="1">
        <v>329.0</v>
      </c>
      <c r="E141" s="1" t="s">
        <v>187</v>
      </c>
    </row>
    <row r="142" ht="15.75" customHeight="1">
      <c r="A142" s="1" t="s">
        <v>205</v>
      </c>
      <c r="B142" s="1">
        <v>141.0</v>
      </c>
      <c r="C142" s="1">
        <v>1.0</v>
      </c>
      <c r="D142" s="1">
        <v>330.0</v>
      </c>
      <c r="E142" s="1" t="s">
        <v>187</v>
      </c>
    </row>
    <row r="143" ht="15.75" customHeight="1">
      <c r="A143" s="1" t="s">
        <v>206</v>
      </c>
      <c r="B143" s="1">
        <v>142.0</v>
      </c>
      <c r="C143" s="1">
        <v>1.0</v>
      </c>
      <c r="D143" s="1">
        <v>331.0</v>
      </c>
      <c r="E143" s="1" t="s">
        <v>187</v>
      </c>
    </row>
    <row r="144" ht="15.75" customHeight="1">
      <c r="A144" s="1" t="s">
        <v>207</v>
      </c>
      <c r="B144" s="1">
        <v>143.0</v>
      </c>
      <c r="C144" s="1">
        <v>1.0</v>
      </c>
      <c r="D144" s="1">
        <v>332.0</v>
      </c>
      <c r="E144" s="1" t="s">
        <v>187</v>
      </c>
    </row>
    <row r="145" ht="15.75" customHeight="1">
      <c r="A145" s="1" t="s">
        <v>208</v>
      </c>
      <c r="B145" s="1">
        <v>144.0</v>
      </c>
      <c r="C145" s="1">
        <v>1.0</v>
      </c>
      <c r="D145" s="1">
        <v>333.0</v>
      </c>
      <c r="E145" s="1" t="s">
        <v>187</v>
      </c>
    </row>
    <row r="146" ht="15.75" customHeight="1">
      <c r="A146" s="1" t="s">
        <v>209</v>
      </c>
      <c r="B146" s="1">
        <v>145.0</v>
      </c>
      <c r="C146" s="1">
        <v>1.0</v>
      </c>
      <c r="D146" s="1">
        <v>334.0</v>
      </c>
      <c r="E146" s="1" t="s">
        <v>187</v>
      </c>
    </row>
    <row r="147" ht="15.75" customHeight="1">
      <c r="A147" s="1" t="s">
        <v>210</v>
      </c>
      <c r="B147" s="1">
        <v>146.0</v>
      </c>
      <c r="C147" s="1">
        <v>1.0</v>
      </c>
      <c r="D147" s="1">
        <v>335.0</v>
      </c>
      <c r="E147" s="1" t="s">
        <v>187</v>
      </c>
    </row>
    <row r="148" ht="15.75" customHeight="1">
      <c r="A148" s="1" t="s">
        <v>211</v>
      </c>
      <c r="B148" s="1">
        <v>147.0</v>
      </c>
      <c r="C148" s="1">
        <v>1.0</v>
      </c>
      <c r="D148" s="1">
        <v>336.0</v>
      </c>
      <c r="E148" s="1" t="s">
        <v>187</v>
      </c>
    </row>
    <row r="149" ht="15.75" customHeight="1">
      <c r="A149" s="1" t="s">
        <v>212</v>
      </c>
      <c r="B149" s="1">
        <v>148.0</v>
      </c>
      <c r="C149" s="1">
        <v>1.0</v>
      </c>
      <c r="D149" s="1">
        <v>337.0</v>
      </c>
      <c r="E149" s="1" t="s">
        <v>187</v>
      </c>
    </row>
    <row r="150" ht="15.75" customHeight="1">
      <c r="A150" s="1" t="s">
        <v>213</v>
      </c>
      <c r="B150" s="1">
        <v>149.0</v>
      </c>
      <c r="C150" s="1">
        <v>1.0</v>
      </c>
      <c r="D150" s="1">
        <v>338.0</v>
      </c>
      <c r="E150" s="1" t="s">
        <v>187</v>
      </c>
    </row>
    <row r="151" ht="15.75" customHeight="1">
      <c r="A151" s="1" t="s">
        <v>214</v>
      </c>
      <c r="B151" s="1">
        <v>150.0</v>
      </c>
      <c r="C151" s="1">
        <v>1.0</v>
      </c>
      <c r="D151" s="1">
        <v>339.0</v>
      </c>
      <c r="E151" s="1" t="s">
        <v>187</v>
      </c>
    </row>
    <row r="152" ht="15.75" customHeight="1">
      <c r="A152" s="1" t="s">
        <v>215</v>
      </c>
      <c r="B152" s="1">
        <v>151.0</v>
      </c>
      <c r="C152" s="1">
        <v>1.0</v>
      </c>
      <c r="D152" s="1">
        <v>340.0</v>
      </c>
      <c r="E152" s="1" t="s">
        <v>187</v>
      </c>
    </row>
    <row r="153" ht="15.75" customHeight="1">
      <c r="A153" s="1" t="s">
        <v>216</v>
      </c>
      <c r="B153" s="1">
        <v>152.0</v>
      </c>
      <c r="C153" s="1">
        <v>1.0</v>
      </c>
      <c r="D153" s="1">
        <v>341.0</v>
      </c>
      <c r="E153" s="1" t="s">
        <v>187</v>
      </c>
    </row>
    <row r="154" ht="15.75" customHeight="1">
      <c r="A154" s="1" t="s">
        <v>217</v>
      </c>
      <c r="B154" s="1">
        <v>153.0</v>
      </c>
      <c r="C154" s="1">
        <v>1.0</v>
      </c>
      <c r="D154" s="1">
        <v>342.0</v>
      </c>
      <c r="E154" s="1" t="s">
        <v>187</v>
      </c>
    </row>
    <row r="155" ht="15.75" customHeight="1">
      <c r="A155" s="1" t="s">
        <v>218</v>
      </c>
      <c r="B155" s="1">
        <v>154.0</v>
      </c>
      <c r="C155" s="1">
        <v>1.0</v>
      </c>
      <c r="D155" s="1">
        <v>343.0</v>
      </c>
      <c r="E155" s="1" t="s">
        <v>187</v>
      </c>
    </row>
    <row r="156" ht="15.75" customHeight="1">
      <c r="A156" s="1" t="s">
        <v>219</v>
      </c>
      <c r="B156" s="1">
        <v>155.0</v>
      </c>
      <c r="C156" s="1">
        <v>1.0</v>
      </c>
      <c r="D156" s="1">
        <v>344.0</v>
      </c>
      <c r="E156" s="1" t="s">
        <v>187</v>
      </c>
    </row>
    <row r="157" ht="15.75" customHeight="1">
      <c r="A157" s="1" t="s">
        <v>220</v>
      </c>
      <c r="B157" s="1">
        <v>156.0</v>
      </c>
      <c r="C157" s="1">
        <v>1.0</v>
      </c>
      <c r="D157" s="1">
        <v>345.0</v>
      </c>
      <c r="E157" s="1" t="s">
        <v>187</v>
      </c>
    </row>
    <row r="158" ht="15.75" customHeight="1">
      <c r="A158" s="1" t="s">
        <v>221</v>
      </c>
      <c r="B158" s="1">
        <v>157.0</v>
      </c>
      <c r="C158" s="1">
        <v>1.0</v>
      </c>
      <c r="D158" s="1">
        <v>346.0</v>
      </c>
      <c r="E158" s="1" t="s">
        <v>187</v>
      </c>
    </row>
    <row r="159" ht="15.75" customHeight="1">
      <c r="A159" s="1" t="s">
        <v>222</v>
      </c>
      <c r="B159" s="1">
        <v>158.0</v>
      </c>
      <c r="C159" s="1">
        <v>1.0</v>
      </c>
      <c r="D159" s="1">
        <v>347.0</v>
      </c>
      <c r="E159" s="1" t="s">
        <v>187</v>
      </c>
    </row>
    <row r="160" ht="15.75" customHeight="1">
      <c r="A160" s="1" t="s">
        <v>223</v>
      </c>
      <c r="B160" s="1">
        <v>159.0</v>
      </c>
      <c r="C160" s="1">
        <v>1.0</v>
      </c>
      <c r="D160" s="1">
        <v>348.0</v>
      </c>
      <c r="E160" s="1" t="s">
        <v>187</v>
      </c>
    </row>
    <row r="161" ht="15.75" customHeight="1">
      <c r="A161" s="1" t="s">
        <v>224</v>
      </c>
      <c r="B161" s="1">
        <v>160.0</v>
      </c>
      <c r="C161" s="1">
        <v>1.0</v>
      </c>
      <c r="D161" s="1">
        <v>349.0</v>
      </c>
      <c r="E161" s="1" t="s">
        <v>187</v>
      </c>
    </row>
    <row r="162" ht="15.75" customHeight="1">
      <c r="A162" s="1" t="s">
        <v>225</v>
      </c>
      <c r="B162" s="1">
        <v>161.0</v>
      </c>
      <c r="C162" s="1">
        <v>1.0</v>
      </c>
      <c r="D162" s="1">
        <v>350.0</v>
      </c>
      <c r="E162" s="1" t="s">
        <v>187</v>
      </c>
    </row>
    <row r="163" ht="15.75" customHeight="1">
      <c r="A163" s="1" t="s">
        <v>226</v>
      </c>
      <c r="B163" s="1">
        <v>162.0</v>
      </c>
      <c r="C163" s="1">
        <v>1.0</v>
      </c>
      <c r="D163" s="1">
        <v>351.0</v>
      </c>
      <c r="E163" s="1" t="s">
        <v>187</v>
      </c>
    </row>
    <row r="164" ht="15.75" customHeight="1">
      <c r="A164" s="1" t="s">
        <v>227</v>
      </c>
      <c r="B164" s="1">
        <v>163.0</v>
      </c>
      <c r="C164" s="1">
        <v>1.0</v>
      </c>
      <c r="D164" s="1">
        <v>352.0</v>
      </c>
      <c r="E164" s="1" t="s">
        <v>187</v>
      </c>
    </row>
    <row r="165" ht="15.75" customHeight="1">
      <c r="A165" s="1" t="s">
        <v>228</v>
      </c>
      <c r="B165" s="1">
        <v>164.0</v>
      </c>
      <c r="C165" s="1">
        <v>1.0</v>
      </c>
      <c r="D165" s="1">
        <v>353.0</v>
      </c>
      <c r="E165" s="1" t="s">
        <v>187</v>
      </c>
    </row>
    <row r="166" ht="15.75" customHeight="1">
      <c r="A166" s="1" t="s">
        <v>229</v>
      </c>
      <c r="B166" s="1">
        <v>165.0</v>
      </c>
      <c r="C166" s="1">
        <v>1.0</v>
      </c>
      <c r="D166" s="1">
        <v>354.0</v>
      </c>
      <c r="E166" s="1" t="s">
        <v>187</v>
      </c>
    </row>
    <row r="167" ht="15.75" customHeight="1">
      <c r="A167" s="1" t="s">
        <v>230</v>
      </c>
      <c r="B167" s="1">
        <v>166.0</v>
      </c>
      <c r="C167" s="1">
        <v>1.0</v>
      </c>
      <c r="D167" s="1">
        <v>355.0</v>
      </c>
      <c r="E167" s="1" t="s">
        <v>187</v>
      </c>
    </row>
    <row r="168" ht="15.75" customHeight="1">
      <c r="A168" s="1" t="s">
        <v>231</v>
      </c>
      <c r="B168" s="1">
        <v>167.0</v>
      </c>
      <c r="C168" s="1">
        <v>1.0</v>
      </c>
      <c r="D168" s="1">
        <v>356.0</v>
      </c>
      <c r="E168" s="1" t="s">
        <v>187</v>
      </c>
    </row>
    <row r="169" ht="15.75" customHeight="1">
      <c r="A169" s="1" t="s">
        <v>232</v>
      </c>
      <c r="B169" s="1">
        <v>168.0</v>
      </c>
      <c r="C169" s="1">
        <v>1.0</v>
      </c>
      <c r="D169" s="1">
        <v>357.0</v>
      </c>
      <c r="E169" s="1" t="s">
        <v>187</v>
      </c>
    </row>
    <row r="170" ht="15.75" customHeight="1">
      <c r="A170" s="1" t="s">
        <v>233</v>
      </c>
      <c r="B170" s="1">
        <v>169.0</v>
      </c>
      <c r="C170" s="1">
        <v>1.0</v>
      </c>
      <c r="D170" s="1">
        <v>358.0</v>
      </c>
      <c r="E170" s="1" t="s">
        <v>187</v>
      </c>
    </row>
    <row r="171" ht="15.75" customHeight="1">
      <c r="A171" s="1" t="s">
        <v>234</v>
      </c>
      <c r="B171" s="1">
        <v>170.0</v>
      </c>
      <c r="C171" s="1">
        <v>1.0</v>
      </c>
      <c r="D171" s="1">
        <v>359.0</v>
      </c>
      <c r="E171" s="1" t="s">
        <v>187</v>
      </c>
    </row>
    <row r="172" ht="15.75" customHeight="1">
      <c r="A172" s="1" t="s">
        <v>235</v>
      </c>
      <c r="B172" s="1">
        <v>171.0</v>
      </c>
      <c r="C172" s="1">
        <v>1.0</v>
      </c>
      <c r="D172" s="1">
        <v>360.0</v>
      </c>
      <c r="E172" s="1" t="s">
        <v>187</v>
      </c>
    </row>
    <row r="173" ht="15.75" customHeight="1">
      <c r="A173" s="1" t="s">
        <v>236</v>
      </c>
      <c r="B173" s="1">
        <v>172.0</v>
      </c>
      <c r="C173" s="1">
        <v>1.0</v>
      </c>
      <c r="D173" s="1">
        <v>361.0</v>
      </c>
      <c r="E173" s="1" t="s">
        <v>187</v>
      </c>
    </row>
    <row r="174" ht="15.75" customHeight="1">
      <c r="A174" s="1" t="s">
        <v>237</v>
      </c>
      <c r="B174" s="1">
        <v>173.0</v>
      </c>
      <c r="C174" s="1">
        <v>1.0</v>
      </c>
      <c r="D174" s="1">
        <v>362.0</v>
      </c>
      <c r="E174" s="1" t="s">
        <v>187</v>
      </c>
    </row>
    <row r="175" ht="15.75" customHeight="1">
      <c r="A175" s="1" t="s">
        <v>238</v>
      </c>
      <c r="B175" s="1">
        <v>174.0</v>
      </c>
      <c r="C175" s="1">
        <v>1.0</v>
      </c>
      <c r="D175" s="1">
        <v>363.0</v>
      </c>
      <c r="E175" s="1" t="s">
        <v>187</v>
      </c>
    </row>
    <row r="176" ht="15.75" customHeight="1">
      <c r="A176" s="1" t="s">
        <v>239</v>
      </c>
      <c r="B176" s="1">
        <v>175.0</v>
      </c>
      <c r="C176" s="1">
        <v>1.0</v>
      </c>
      <c r="D176" s="1">
        <v>364.0</v>
      </c>
      <c r="E176" s="1" t="s">
        <v>187</v>
      </c>
    </row>
    <row r="177" ht="15.75" customHeight="1">
      <c r="A177" s="1" t="s">
        <v>240</v>
      </c>
      <c r="B177" s="1">
        <v>176.0</v>
      </c>
      <c r="C177" s="1">
        <v>1.0</v>
      </c>
      <c r="D177" s="1">
        <v>365.0</v>
      </c>
      <c r="E177" s="1" t="s">
        <v>187</v>
      </c>
    </row>
    <row r="178" ht="15.75" customHeight="1">
      <c r="A178" s="1" t="s">
        <v>241</v>
      </c>
      <c r="B178" s="1">
        <v>177.0</v>
      </c>
      <c r="C178" s="1">
        <v>1.0</v>
      </c>
      <c r="D178" s="1">
        <v>366.0</v>
      </c>
      <c r="E178" s="1" t="s">
        <v>187</v>
      </c>
    </row>
    <row r="179" ht="15.75" customHeight="1">
      <c r="A179" s="1" t="s">
        <v>242</v>
      </c>
      <c r="B179" s="1">
        <v>178.0</v>
      </c>
      <c r="C179" s="1">
        <v>1.0</v>
      </c>
      <c r="D179" s="1">
        <v>367.0</v>
      </c>
      <c r="E179" s="1" t="s">
        <v>187</v>
      </c>
    </row>
    <row r="180" ht="15.75" customHeight="1">
      <c r="A180" s="1" t="s">
        <v>243</v>
      </c>
      <c r="B180" s="1">
        <v>179.0</v>
      </c>
      <c r="C180" s="1">
        <v>1.0</v>
      </c>
      <c r="D180" s="1">
        <v>368.0</v>
      </c>
      <c r="E180" s="1" t="s">
        <v>187</v>
      </c>
    </row>
    <row r="181" ht="15.75" customHeight="1">
      <c r="A181" s="1" t="s">
        <v>244</v>
      </c>
      <c r="B181" s="1">
        <v>180.0</v>
      </c>
      <c r="C181" s="1">
        <v>1.0</v>
      </c>
      <c r="D181" s="1">
        <v>369.0</v>
      </c>
      <c r="E181" s="1" t="s">
        <v>187</v>
      </c>
    </row>
    <row r="182" ht="15.75" customHeight="1">
      <c r="A182" s="1" t="s">
        <v>245</v>
      </c>
      <c r="B182" s="1">
        <v>181.0</v>
      </c>
      <c r="C182" s="1">
        <v>1.0</v>
      </c>
      <c r="D182" s="1">
        <v>370.0</v>
      </c>
      <c r="E182" s="1" t="s">
        <v>187</v>
      </c>
    </row>
    <row r="183" ht="15.75" customHeight="1">
      <c r="A183" s="1" t="s">
        <v>246</v>
      </c>
      <c r="B183" s="1">
        <v>182.0</v>
      </c>
      <c r="C183" s="1">
        <v>1.0</v>
      </c>
      <c r="D183" s="1">
        <v>371.0</v>
      </c>
      <c r="E183" s="1" t="s">
        <v>187</v>
      </c>
    </row>
    <row r="184" ht="15.75" customHeight="1">
      <c r="A184" s="1" t="s">
        <v>247</v>
      </c>
      <c r="B184" s="1">
        <v>183.0</v>
      </c>
      <c r="C184" s="1">
        <v>1.0</v>
      </c>
      <c r="D184" s="1">
        <v>372.0</v>
      </c>
      <c r="E184" s="1" t="s">
        <v>187</v>
      </c>
    </row>
    <row r="185" ht="15.75" customHeight="1">
      <c r="A185" s="1" t="s">
        <v>248</v>
      </c>
      <c r="B185" s="1">
        <v>184.0</v>
      </c>
      <c r="C185" s="1">
        <v>1.0</v>
      </c>
      <c r="D185" s="1">
        <v>373.0</v>
      </c>
      <c r="E185" s="1" t="s">
        <v>187</v>
      </c>
    </row>
    <row r="186" ht="15.75" customHeight="1">
      <c r="A186" s="1" t="s">
        <v>249</v>
      </c>
      <c r="B186" s="1">
        <v>185.0</v>
      </c>
      <c r="C186" s="1">
        <v>1.0</v>
      </c>
      <c r="D186" s="1">
        <v>374.0</v>
      </c>
      <c r="E186" s="1" t="s">
        <v>187</v>
      </c>
    </row>
    <row r="187" ht="15.75" customHeight="1">
      <c r="A187" s="1" t="s">
        <v>250</v>
      </c>
      <c r="B187" s="1">
        <v>186.0</v>
      </c>
      <c r="C187" s="1">
        <v>1.0</v>
      </c>
      <c r="D187" s="1">
        <v>375.0</v>
      </c>
      <c r="E187" s="1" t="s">
        <v>187</v>
      </c>
    </row>
    <row r="188" ht="15.75" customHeight="1">
      <c r="A188" s="1" t="s">
        <v>251</v>
      </c>
      <c r="B188" s="1">
        <v>187.0</v>
      </c>
      <c r="C188" s="1">
        <v>1.0</v>
      </c>
      <c r="D188" s="1">
        <v>376.0</v>
      </c>
      <c r="E188" s="1" t="s">
        <v>187</v>
      </c>
    </row>
    <row r="189" ht="15.75" customHeight="1">
      <c r="A189" s="1" t="s">
        <v>252</v>
      </c>
      <c r="B189" s="1">
        <v>188.0</v>
      </c>
      <c r="C189" s="1">
        <v>1.0</v>
      </c>
      <c r="D189" s="1">
        <v>377.0</v>
      </c>
      <c r="E189" s="1" t="s">
        <v>187</v>
      </c>
    </row>
    <row r="190" ht="15.75" customHeight="1">
      <c r="A190" s="1" t="s">
        <v>253</v>
      </c>
      <c r="B190" s="1">
        <v>189.0</v>
      </c>
      <c r="C190" s="1">
        <v>1.0</v>
      </c>
      <c r="D190" s="1">
        <v>378.0</v>
      </c>
      <c r="E190" s="1" t="s">
        <v>187</v>
      </c>
    </row>
    <row r="191" ht="15.75" customHeight="1">
      <c r="A191" s="1" t="s">
        <v>254</v>
      </c>
      <c r="B191" s="1">
        <v>190.0</v>
      </c>
      <c r="C191" s="1">
        <v>1.0</v>
      </c>
      <c r="D191" s="1">
        <v>379.0</v>
      </c>
      <c r="E191" s="1" t="s">
        <v>187</v>
      </c>
    </row>
    <row r="192" ht="15.75" customHeight="1">
      <c r="A192" s="1" t="s">
        <v>255</v>
      </c>
      <c r="B192" s="1">
        <v>191.0</v>
      </c>
      <c r="C192" s="1">
        <v>1.0</v>
      </c>
      <c r="D192" s="1">
        <v>380.0</v>
      </c>
      <c r="E192" s="1" t="s">
        <v>187</v>
      </c>
    </row>
    <row r="193" ht="15.75" customHeight="1">
      <c r="A193" s="1" t="s">
        <v>256</v>
      </c>
      <c r="B193" s="1">
        <v>192.0</v>
      </c>
      <c r="C193" s="1">
        <v>1.0</v>
      </c>
      <c r="D193" s="1">
        <v>381.0</v>
      </c>
      <c r="E193" s="1" t="s">
        <v>187</v>
      </c>
    </row>
    <row r="194" ht="15.75" customHeight="1">
      <c r="A194" s="1" t="s">
        <v>257</v>
      </c>
      <c r="B194" s="1">
        <v>193.0</v>
      </c>
      <c r="C194" s="1">
        <v>1.0</v>
      </c>
      <c r="D194" s="1">
        <v>382.0</v>
      </c>
      <c r="E194" s="1" t="s">
        <v>187</v>
      </c>
    </row>
    <row r="195" ht="15.75" customHeight="1">
      <c r="A195" s="1" t="s">
        <v>258</v>
      </c>
      <c r="B195" s="1">
        <v>194.0</v>
      </c>
      <c r="C195" s="1">
        <v>1.0</v>
      </c>
      <c r="D195" s="1">
        <v>383.0</v>
      </c>
      <c r="E195" s="1" t="s">
        <v>187</v>
      </c>
    </row>
    <row r="196" ht="15.75" customHeight="1">
      <c r="A196" s="1" t="s">
        <v>259</v>
      </c>
      <c r="B196" s="1">
        <v>195.0</v>
      </c>
      <c r="C196" s="1">
        <v>1.0</v>
      </c>
      <c r="D196" s="1">
        <v>384.0</v>
      </c>
      <c r="E196" s="1" t="s">
        <v>187</v>
      </c>
    </row>
    <row r="197" ht="15.75" customHeight="1">
      <c r="A197" s="1" t="s">
        <v>260</v>
      </c>
      <c r="B197" s="1">
        <v>196.0</v>
      </c>
      <c r="C197" s="1">
        <v>1.0</v>
      </c>
      <c r="D197" s="1">
        <v>385.0</v>
      </c>
      <c r="E197" s="1" t="s">
        <v>187</v>
      </c>
    </row>
    <row r="198" ht="15.75" customHeight="1">
      <c r="A198" s="1" t="s">
        <v>261</v>
      </c>
      <c r="B198" s="1">
        <v>197.0</v>
      </c>
      <c r="C198" s="1">
        <v>1.0</v>
      </c>
      <c r="D198" s="1">
        <v>386.0</v>
      </c>
      <c r="E198" s="1" t="s">
        <v>187</v>
      </c>
    </row>
    <row r="199" ht="15.75" customHeight="1">
      <c r="A199" s="1" t="s">
        <v>262</v>
      </c>
      <c r="B199" s="1">
        <v>198.0</v>
      </c>
      <c r="C199" s="1">
        <v>1.0</v>
      </c>
      <c r="D199" s="1">
        <v>387.0</v>
      </c>
      <c r="E199" s="1" t="s">
        <v>187</v>
      </c>
    </row>
    <row r="200" ht="15.75" customHeight="1">
      <c r="A200" s="1" t="s">
        <v>263</v>
      </c>
      <c r="B200" s="1">
        <v>199.0</v>
      </c>
      <c r="C200" s="1">
        <v>1.0</v>
      </c>
      <c r="D200" s="1">
        <v>388.0</v>
      </c>
      <c r="E200" s="1" t="s">
        <v>187</v>
      </c>
    </row>
    <row r="201" ht="15.75" customHeight="1">
      <c r="A201" s="1" t="s">
        <v>264</v>
      </c>
      <c r="B201" s="1">
        <v>200.0</v>
      </c>
      <c r="C201" s="1">
        <v>1.0</v>
      </c>
      <c r="D201" s="1">
        <v>389.0</v>
      </c>
      <c r="E201" s="1" t="s">
        <v>187</v>
      </c>
    </row>
    <row r="202" ht="15.75" customHeight="1">
      <c r="A202" s="1" t="s">
        <v>265</v>
      </c>
      <c r="B202" s="1">
        <v>201.0</v>
      </c>
      <c r="C202" s="1">
        <v>1.0</v>
      </c>
      <c r="D202" s="1">
        <v>390.0</v>
      </c>
      <c r="E202" s="1" t="s">
        <v>187</v>
      </c>
    </row>
    <row r="203" ht="15.75" customHeight="1">
      <c r="A203" s="1" t="s">
        <v>266</v>
      </c>
      <c r="B203" s="1">
        <v>202.0</v>
      </c>
      <c r="C203" s="1">
        <v>1.0</v>
      </c>
      <c r="D203" s="1">
        <v>391.0</v>
      </c>
      <c r="E203" s="1" t="s">
        <v>187</v>
      </c>
    </row>
    <row r="204" ht="15.75" customHeight="1">
      <c r="A204" s="1" t="s">
        <v>267</v>
      </c>
      <c r="B204" s="1">
        <v>203.0</v>
      </c>
      <c r="C204" s="1">
        <v>1.0</v>
      </c>
      <c r="D204" s="1">
        <v>392.0</v>
      </c>
      <c r="E204" s="1" t="s">
        <v>187</v>
      </c>
    </row>
    <row r="205" ht="15.75" customHeight="1">
      <c r="A205" s="1" t="s">
        <v>268</v>
      </c>
      <c r="B205" s="1">
        <v>204.0</v>
      </c>
      <c r="C205" s="1">
        <v>1.0</v>
      </c>
      <c r="D205" s="1">
        <v>393.0</v>
      </c>
      <c r="E205" s="1" t="s">
        <v>187</v>
      </c>
    </row>
    <row r="206" ht="15.75" customHeight="1">
      <c r="A206" s="1" t="s">
        <v>269</v>
      </c>
      <c r="B206" s="1">
        <v>205.0</v>
      </c>
      <c r="C206" s="1">
        <v>1.0</v>
      </c>
      <c r="D206" s="1">
        <v>394.0</v>
      </c>
      <c r="E206" s="1" t="s">
        <v>187</v>
      </c>
    </row>
    <row r="207" ht="15.75" customHeight="1">
      <c r="A207" s="1" t="s">
        <v>270</v>
      </c>
      <c r="B207" s="1">
        <v>206.0</v>
      </c>
      <c r="C207" s="1">
        <v>1.0</v>
      </c>
      <c r="D207" s="1">
        <v>395.0</v>
      </c>
      <c r="E207" s="1" t="s">
        <v>187</v>
      </c>
    </row>
    <row r="208" ht="15.75" customHeight="1">
      <c r="A208" s="1" t="s">
        <v>271</v>
      </c>
      <c r="B208" s="1">
        <v>207.0</v>
      </c>
      <c r="C208" s="1">
        <v>1.0</v>
      </c>
      <c r="D208" s="1">
        <v>396.0</v>
      </c>
      <c r="E208" s="1" t="s">
        <v>187</v>
      </c>
    </row>
    <row r="209" ht="15.75" customHeight="1">
      <c r="A209" s="1" t="s">
        <v>272</v>
      </c>
      <c r="B209" s="1">
        <v>208.0</v>
      </c>
      <c r="C209" s="1">
        <v>1.0</v>
      </c>
      <c r="D209" s="1">
        <v>397.0</v>
      </c>
      <c r="E209" s="1" t="s">
        <v>187</v>
      </c>
    </row>
    <row r="210" ht="15.75" customHeight="1">
      <c r="A210" s="1" t="s">
        <v>273</v>
      </c>
      <c r="B210" s="1">
        <v>209.0</v>
      </c>
      <c r="C210" s="1">
        <v>1.0</v>
      </c>
      <c r="D210" s="1">
        <v>398.0</v>
      </c>
      <c r="E210" s="1" t="s">
        <v>187</v>
      </c>
    </row>
    <row r="211" ht="15.75" customHeight="1">
      <c r="A211" s="1" t="s">
        <v>274</v>
      </c>
      <c r="B211" s="1">
        <v>210.0</v>
      </c>
      <c r="C211" s="1">
        <v>1.0</v>
      </c>
      <c r="D211" s="1">
        <v>399.0</v>
      </c>
      <c r="E211" s="1" t="s">
        <v>187</v>
      </c>
    </row>
    <row r="212" ht="15.75" customHeight="1">
      <c r="A212" s="1" t="s">
        <v>275</v>
      </c>
      <c r="B212" s="1">
        <v>211.0</v>
      </c>
      <c r="C212" s="1">
        <v>1.0</v>
      </c>
      <c r="D212" s="1">
        <v>400.0</v>
      </c>
      <c r="E212" s="1" t="s">
        <v>187</v>
      </c>
    </row>
    <row r="213" ht="15.75" customHeight="1">
      <c r="A213" s="1" t="s">
        <v>276</v>
      </c>
      <c r="B213" s="1">
        <v>212.0</v>
      </c>
      <c r="C213" s="1">
        <v>1.0</v>
      </c>
      <c r="D213" s="1">
        <v>401.0</v>
      </c>
      <c r="E213" s="1" t="s">
        <v>187</v>
      </c>
    </row>
    <row r="214" ht="15.75" customHeight="1">
      <c r="A214" s="1" t="s">
        <v>277</v>
      </c>
      <c r="B214" s="1">
        <v>213.0</v>
      </c>
      <c r="C214" s="1">
        <v>1.0</v>
      </c>
      <c r="D214" s="1">
        <v>402.0</v>
      </c>
      <c r="E214" s="1" t="s">
        <v>187</v>
      </c>
    </row>
    <row r="215" ht="15.75" customHeight="1">
      <c r="A215" s="1" t="s">
        <v>278</v>
      </c>
      <c r="B215" s="1">
        <v>214.0</v>
      </c>
      <c r="C215" s="1">
        <v>1.0</v>
      </c>
      <c r="D215" s="1">
        <v>403.0</v>
      </c>
      <c r="E215" s="1" t="s">
        <v>187</v>
      </c>
    </row>
    <row r="216" ht="15.75" customHeight="1">
      <c r="A216" s="1" t="s">
        <v>279</v>
      </c>
      <c r="B216" s="1">
        <v>215.0</v>
      </c>
      <c r="C216" s="1">
        <v>1.0</v>
      </c>
      <c r="D216" s="1">
        <v>404.0</v>
      </c>
      <c r="E216" s="1" t="s">
        <v>187</v>
      </c>
    </row>
    <row r="217" ht="15.75" customHeight="1">
      <c r="A217" s="1" t="s">
        <v>280</v>
      </c>
      <c r="B217" s="1">
        <v>216.0</v>
      </c>
      <c r="C217" s="1">
        <v>1.0</v>
      </c>
      <c r="D217" s="1">
        <v>405.0</v>
      </c>
      <c r="E217" s="1" t="s">
        <v>187</v>
      </c>
    </row>
    <row r="218" ht="15.75" customHeight="1">
      <c r="A218" s="1" t="s">
        <v>281</v>
      </c>
      <c r="B218" s="1">
        <v>217.0</v>
      </c>
      <c r="C218" s="1">
        <v>1.0</v>
      </c>
      <c r="D218" s="1">
        <v>406.0</v>
      </c>
      <c r="E218" s="1" t="s">
        <v>187</v>
      </c>
    </row>
    <row r="219" ht="15.75" customHeight="1">
      <c r="A219" s="1" t="s">
        <v>282</v>
      </c>
      <c r="B219" s="1">
        <v>218.0</v>
      </c>
      <c r="C219" s="1">
        <v>1.0</v>
      </c>
      <c r="D219" s="1">
        <v>407.0</v>
      </c>
      <c r="E219" s="1" t="s">
        <v>187</v>
      </c>
    </row>
    <row r="220" ht="15.75" customHeight="1">
      <c r="A220" s="1" t="s">
        <v>283</v>
      </c>
      <c r="B220" s="1">
        <v>219.0</v>
      </c>
      <c r="C220" s="1">
        <v>1.0</v>
      </c>
      <c r="D220" s="1">
        <v>408.0</v>
      </c>
      <c r="E220" s="1" t="s">
        <v>187</v>
      </c>
    </row>
    <row r="221" ht="15.75" customHeight="1">
      <c r="A221" s="1" t="s">
        <v>284</v>
      </c>
      <c r="B221" s="1">
        <v>220.0</v>
      </c>
      <c r="C221" s="1">
        <v>1.0</v>
      </c>
      <c r="D221" s="1">
        <v>409.0</v>
      </c>
      <c r="E221" s="1" t="s">
        <v>187</v>
      </c>
    </row>
    <row r="222" ht="15.75" customHeight="1">
      <c r="A222" s="1" t="s">
        <v>285</v>
      </c>
      <c r="B222" s="1">
        <v>221.0</v>
      </c>
      <c r="C222" s="1">
        <v>1.0</v>
      </c>
      <c r="D222" s="1">
        <v>410.0</v>
      </c>
      <c r="E222" s="1" t="s">
        <v>187</v>
      </c>
    </row>
    <row r="223" ht="15.75" customHeight="1">
      <c r="A223" s="1" t="s">
        <v>286</v>
      </c>
      <c r="B223" s="1">
        <v>222.0</v>
      </c>
      <c r="C223" s="1">
        <v>1.0</v>
      </c>
      <c r="D223" s="1">
        <v>411.0</v>
      </c>
      <c r="E223" s="1" t="s">
        <v>187</v>
      </c>
    </row>
    <row r="224" ht="15.75" customHeight="1">
      <c r="A224" s="1" t="s">
        <v>287</v>
      </c>
      <c r="B224" s="1">
        <v>223.0</v>
      </c>
      <c r="C224" s="1">
        <v>1.0</v>
      </c>
      <c r="D224" s="1">
        <v>412.0</v>
      </c>
      <c r="E224" s="1" t="s">
        <v>187</v>
      </c>
    </row>
    <row r="225" ht="15.75" customHeight="1">
      <c r="A225" s="1" t="s">
        <v>288</v>
      </c>
      <c r="B225" s="1">
        <v>224.0</v>
      </c>
      <c r="C225" s="1">
        <v>1.0</v>
      </c>
      <c r="D225" s="1">
        <v>413.0</v>
      </c>
      <c r="E225" s="1" t="s">
        <v>187</v>
      </c>
    </row>
    <row r="226" ht="15.75" customHeight="1">
      <c r="A226" s="1" t="s">
        <v>289</v>
      </c>
      <c r="B226" s="1">
        <v>225.0</v>
      </c>
      <c r="C226" s="1">
        <v>1.0</v>
      </c>
      <c r="D226" s="1">
        <v>414.0</v>
      </c>
      <c r="E226" s="1" t="s">
        <v>187</v>
      </c>
    </row>
    <row r="227" ht="15.75" customHeight="1">
      <c r="A227" s="1" t="s">
        <v>290</v>
      </c>
      <c r="B227" s="1">
        <v>226.0</v>
      </c>
      <c r="C227" s="1">
        <v>1.0</v>
      </c>
      <c r="D227" s="1">
        <v>415.0</v>
      </c>
      <c r="E227" s="1" t="s">
        <v>187</v>
      </c>
    </row>
    <row r="228" ht="15.75" customHeight="1">
      <c r="A228" s="1" t="s">
        <v>291</v>
      </c>
      <c r="B228" s="1">
        <v>227.0</v>
      </c>
      <c r="C228" s="1">
        <v>1.0</v>
      </c>
      <c r="D228" s="1">
        <v>416.0</v>
      </c>
      <c r="E228" s="1" t="s">
        <v>187</v>
      </c>
    </row>
    <row r="229" ht="15.75" customHeight="1">
      <c r="A229" s="1" t="s">
        <v>292</v>
      </c>
      <c r="B229" s="1">
        <v>228.0</v>
      </c>
      <c r="C229" s="1">
        <v>1.0</v>
      </c>
      <c r="D229" s="1">
        <v>417.0</v>
      </c>
      <c r="E229" s="1" t="s">
        <v>187</v>
      </c>
    </row>
    <row r="230" ht="15.75" customHeight="1">
      <c r="A230" s="1" t="s">
        <v>293</v>
      </c>
      <c r="B230" s="1">
        <v>229.0</v>
      </c>
      <c r="C230" s="1">
        <v>1.0</v>
      </c>
      <c r="D230" s="1">
        <v>418.0</v>
      </c>
      <c r="E230" s="1" t="s">
        <v>187</v>
      </c>
    </row>
    <row r="231" ht="15.75" customHeight="1">
      <c r="A231" s="1" t="s">
        <v>294</v>
      </c>
      <c r="B231" s="1">
        <v>230.0</v>
      </c>
      <c r="C231" s="1">
        <v>1.0</v>
      </c>
      <c r="D231" s="1">
        <v>419.0</v>
      </c>
      <c r="E231" s="1" t="s">
        <v>187</v>
      </c>
    </row>
    <row r="232" ht="15.75" customHeight="1">
      <c r="A232" s="1" t="s">
        <v>295</v>
      </c>
      <c r="B232" s="1">
        <v>231.0</v>
      </c>
      <c r="C232" s="1">
        <v>1.0</v>
      </c>
      <c r="D232" s="1">
        <v>420.0</v>
      </c>
      <c r="E232" s="1" t="s">
        <v>187</v>
      </c>
    </row>
    <row r="233" ht="15.75" customHeight="1">
      <c r="A233" s="1" t="s">
        <v>296</v>
      </c>
      <c r="B233" s="1">
        <v>232.0</v>
      </c>
      <c r="C233" s="1">
        <v>1.0</v>
      </c>
      <c r="D233" s="1">
        <v>421.0</v>
      </c>
      <c r="E233" s="1" t="s">
        <v>187</v>
      </c>
    </row>
    <row r="234" ht="15.75" customHeight="1">
      <c r="A234" s="1" t="s">
        <v>297</v>
      </c>
      <c r="B234" s="1">
        <v>233.0</v>
      </c>
      <c r="C234" s="1">
        <v>1.0</v>
      </c>
      <c r="D234" s="1">
        <v>422.0</v>
      </c>
      <c r="E234" s="1" t="s">
        <v>187</v>
      </c>
    </row>
    <row r="235" ht="15.75" customHeight="1">
      <c r="A235" s="1" t="s">
        <v>298</v>
      </c>
      <c r="B235" s="1">
        <v>234.0</v>
      </c>
      <c r="C235" s="1">
        <v>1.0</v>
      </c>
      <c r="D235" s="1">
        <v>423.0</v>
      </c>
      <c r="E235" s="1" t="s">
        <v>187</v>
      </c>
    </row>
    <row r="236" ht="15.75" customHeight="1">
      <c r="A236" s="1" t="s">
        <v>299</v>
      </c>
      <c r="B236" s="1">
        <v>235.0</v>
      </c>
      <c r="C236" s="1">
        <v>1.0</v>
      </c>
      <c r="D236" s="1">
        <v>424.0</v>
      </c>
      <c r="E236" s="1" t="s">
        <v>187</v>
      </c>
    </row>
    <row r="237" ht="15.75" customHeight="1">
      <c r="A237" s="1" t="s">
        <v>300</v>
      </c>
      <c r="B237" s="1">
        <v>236.0</v>
      </c>
      <c r="C237" s="1">
        <v>1.0</v>
      </c>
      <c r="D237" s="1">
        <v>425.0</v>
      </c>
      <c r="E237" s="1" t="s">
        <v>187</v>
      </c>
    </row>
    <row r="238" ht="15.75" customHeight="1">
      <c r="A238" s="1" t="s">
        <v>301</v>
      </c>
      <c r="B238" s="1">
        <v>237.0</v>
      </c>
      <c r="C238" s="1">
        <v>1.0</v>
      </c>
      <c r="D238" s="1">
        <v>426.0</v>
      </c>
      <c r="E238" s="1" t="s">
        <v>187</v>
      </c>
    </row>
    <row r="239" ht="15.75" customHeight="1">
      <c r="A239" s="1" t="s">
        <v>302</v>
      </c>
      <c r="B239" s="1">
        <v>238.0</v>
      </c>
      <c r="C239" s="1">
        <v>1.0</v>
      </c>
      <c r="D239" s="1">
        <v>427.0</v>
      </c>
      <c r="E239" s="1" t="s">
        <v>187</v>
      </c>
    </row>
    <row r="240" ht="15.75" customHeight="1">
      <c r="A240" s="1" t="s">
        <v>303</v>
      </c>
      <c r="B240" s="1">
        <v>239.0</v>
      </c>
      <c r="C240" s="1">
        <v>1.0</v>
      </c>
      <c r="D240" s="1">
        <v>428.0</v>
      </c>
      <c r="E240" s="1" t="s">
        <v>187</v>
      </c>
    </row>
    <row r="241" ht="15.75" customHeight="1">
      <c r="A241" s="1" t="s">
        <v>304</v>
      </c>
      <c r="B241" s="1">
        <v>240.0</v>
      </c>
      <c r="C241" s="1">
        <v>1.0</v>
      </c>
      <c r="D241" s="1">
        <v>429.0</v>
      </c>
      <c r="E241" s="1" t="s">
        <v>187</v>
      </c>
    </row>
    <row r="242" ht="15.75" customHeight="1">
      <c r="A242" s="1" t="s">
        <v>305</v>
      </c>
      <c r="B242" s="1">
        <v>241.0</v>
      </c>
      <c r="C242" s="1">
        <v>1.0</v>
      </c>
      <c r="D242" s="1">
        <v>430.0</v>
      </c>
      <c r="E242" s="1" t="s">
        <v>187</v>
      </c>
    </row>
    <row r="243" ht="15.75" customHeight="1">
      <c r="A243" s="1" t="s">
        <v>306</v>
      </c>
      <c r="B243" s="1">
        <v>242.0</v>
      </c>
      <c r="C243" s="1">
        <v>1.0</v>
      </c>
      <c r="D243" s="1">
        <v>431.0</v>
      </c>
      <c r="E243" s="1" t="s">
        <v>187</v>
      </c>
    </row>
    <row r="244" ht="15.75" customHeight="1">
      <c r="A244" s="1" t="s">
        <v>307</v>
      </c>
      <c r="B244" s="1">
        <v>243.0</v>
      </c>
      <c r="C244" s="1">
        <v>1.0</v>
      </c>
      <c r="D244" s="1">
        <v>432.0</v>
      </c>
      <c r="E244" s="1" t="s">
        <v>187</v>
      </c>
    </row>
    <row r="245" ht="15.75" customHeight="1">
      <c r="A245" s="1" t="s">
        <v>308</v>
      </c>
      <c r="B245" s="1">
        <v>244.0</v>
      </c>
      <c r="C245" s="1">
        <v>1.0</v>
      </c>
      <c r="D245" s="1">
        <v>433.0</v>
      </c>
      <c r="E245" s="1" t="s">
        <v>187</v>
      </c>
    </row>
    <row r="246" ht="15.75" customHeight="1">
      <c r="A246" s="1" t="s">
        <v>309</v>
      </c>
      <c r="B246" s="1">
        <v>245.0</v>
      </c>
      <c r="C246" s="1">
        <v>1.0</v>
      </c>
      <c r="D246" s="1">
        <v>434.0</v>
      </c>
      <c r="E246" s="1" t="s">
        <v>187</v>
      </c>
    </row>
    <row r="247" ht="15.75" customHeight="1">
      <c r="A247" s="1" t="s">
        <v>310</v>
      </c>
      <c r="B247" s="1">
        <v>246.0</v>
      </c>
      <c r="C247" s="1">
        <v>1.0</v>
      </c>
      <c r="D247" s="1">
        <v>435.0</v>
      </c>
      <c r="E247" s="1" t="s">
        <v>187</v>
      </c>
    </row>
    <row r="248" ht="15.75" customHeight="1">
      <c r="A248" s="1" t="s">
        <v>311</v>
      </c>
      <c r="B248" s="1">
        <v>247.0</v>
      </c>
      <c r="C248" s="1">
        <v>1.0</v>
      </c>
      <c r="D248" s="1">
        <v>436.0</v>
      </c>
      <c r="E248" s="1" t="s">
        <v>187</v>
      </c>
    </row>
    <row r="249" ht="15.75" customHeight="1">
      <c r="A249" s="1" t="s">
        <v>312</v>
      </c>
      <c r="B249" s="1">
        <v>248.0</v>
      </c>
      <c r="C249" s="1">
        <v>1.0</v>
      </c>
      <c r="D249" s="1">
        <v>437.0</v>
      </c>
      <c r="E249" s="1" t="s">
        <v>187</v>
      </c>
    </row>
    <row r="250" ht="15.75" customHeight="1">
      <c r="A250" s="1" t="s">
        <v>313</v>
      </c>
      <c r="B250" s="1">
        <v>249.0</v>
      </c>
      <c r="C250" s="1">
        <v>1.0</v>
      </c>
      <c r="D250" s="1">
        <v>438.0</v>
      </c>
      <c r="E250" s="1" t="s">
        <v>187</v>
      </c>
    </row>
    <row r="251" ht="15.75" customHeight="1">
      <c r="A251" s="1" t="s">
        <v>314</v>
      </c>
      <c r="B251" s="1">
        <v>250.0</v>
      </c>
      <c r="C251" s="1">
        <v>1.0</v>
      </c>
      <c r="D251" s="1">
        <v>439.0</v>
      </c>
      <c r="E251" s="1" t="s">
        <v>187</v>
      </c>
    </row>
    <row r="252" ht="15.75" customHeight="1">
      <c r="A252" s="1" t="s">
        <v>315</v>
      </c>
      <c r="B252" s="1">
        <v>251.0</v>
      </c>
      <c r="C252" s="1">
        <v>1.0</v>
      </c>
      <c r="D252" s="1">
        <v>440.0</v>
      </c>
      <c r="E252" s="1" t="s">
        <v>187</v>
      </c>
    </row>
    <row r="253" ht="15.75" customHeight="1">
      <c r="A253" s="1" t="s">
        <v>316</v>
      </c>
      <c r="B253" s="1">
        <v>252.0</v>
      </c>
      <c r="C253" s="1">
        <v>1.0</v>
      </c>
      <c r="D253" s="1">
        <v>441.0</v>
      </c>
      <c r="E253" s="1" t="s">
        <v>187</v>
      </c>
    </row>
    <row r="254" ht="15.75" customHeight="1">
      <c r="A254" s="1" t="s">
        <v>317</v>
      </c>
      <c r="B254" s="1">
        <v>253.0</v>
      </c>
      <c r="C254" s="1">
        <v>1.0</v>
      </c>
      <c r="D254" s="1">
        <v>442.0</v>
      </c>
      <c r="E254" s="1" t="s">
        <v>187</v>
      </c>
    </row>
    <row r="255" ht="15.75" customHeight="1">
      <c r="A255" s="1" t="s">
        <v>318</v>
      </c>
      <c r="B255" s="1">
        <v>254.0</v>
      </c>
      <c r="C255" s="1">
        <v>1.0</v>
      </c>
      <c r="D255" s="1">
        <v>443.0</v>
      </c>
      <c r="E255" s="1" t="s">
        <v>187</v>
      </c>
    </row>
    <row r="256" ht="15.75" customHeight="1">
      <c r="A256" s="1" t="s">
        <v>319</v>
      </c>
      <c r="B256" s="1">
        <v>255.0</v>
      </c>
      <c r="C256" s="1">
        <v>1.0</v>
      </c>
      <c r="D256" s="1">
        <v>444.0</v>
      </c>
      <c r="E256" s="1" t="s">
        <v>187</v>
      </c>
    </row>
    <row r="257" ht="15.75" customHeight="1">
      <c r="A257" s="1" t="s">
        <v>320</v>
      </c>
      <c r="B257" s="1">
        <v>256.0</v>
      </c>
      <c r="C257" s="1">
        <v>1.0</v>
      </c>
      <c r="D257" s="1">
        <v>445.0</v>
      </c>
      <c r="E257" s="1" t="s">
        <v>187</v>
      </c>
    </row>
    <row r="258" ht="15.75" customHeight="1">
      <c r="A258" s="1" t="s">
        <v>321</v>
      </c>
      <c r="B258" s="1">
        <v>257.0</v>
      </c>
      <c r="C258" s="1">
        <v>1.0</v>
      </c>
      <c r="D258" s="1">
        <v>446.0</v>
      </c>
      <c r="E258" s="1" t="s">
        <v>187</v>
      </c>
    </row>
    <row r="259" ht="15.75" customHeight="1">
      <c r="A259" s="1" t="s">
        <v>322</v>
      </c>
      <c r="B259" s="1">
        <v>258.0</v>
      </c>
      <c r="C259" s="1">
        <v>1.0</v>
      </c>
      <c r="D259" s="1">
        <v>447.0</v>
      </c>
      <c r="E259" s="1" t="s">
        <v>187</v>
      </c>
    </row>
    <row r="260" ht="15.75" customHeight="1">
      <c r="A260" s="1" t="s">
        <v>323</v>
      </c>
      <c r="B260" s="1">
        <v>259.0</v>
      </c>
      <c r="C260" s="1">
        <v>1.0</v>
      </c>
      <c r="D260" s="1">
        <v>448.0</v>
      </c>
      <c r="E260" s="1" t="s">
        <v>187</v>
      </c>
    </row>
    <row r="261" ht="15.75" customHeight="1">
      <c r="A261" s="1" t="s">
        <v>324</v>
      </c>
      <c r="B261" s="1">
        <v>260.0</v>
      </c>
      <c r="C261" s="1">
        <v>1.0</v>
      </c>
      <c r="D261" s="1">
        <v>449.0</v>
      </c>
      <c r="E261" s="1" t="s">
        <v>187</v>
      </c>
    </row>
    <row r="262" ht="15.75" customHeight="1">
      <c r="A262" s="1" t="s">
        <v>325</v>
      </c>
      <c r="B262" s="1">
        <v>261.0</v>
      </c>
      <c r="C262" s="1">
        <v>1.0</v>
      </c>
      <c r="D262" s="1">
        <v>450.0</v>
      </c>
      <c r="E262" s="1" t="s">
        <v>187</v>
      </c>
    </row>
    <row r="263" ht="15.75" customHeight="1">
      <c r="A263" s="1" t="s">
        <v>326</v>
      </c>
      <c r="B263" s="1">
        <v>262.0</v>
      </c>
      <c r="C263" s="1">
        <v>1.0</v>
      </c>
      <c r="D263" s="1">
        <v>451.0</v>
      </c>
      <c r="E263" s="1" t="s">
        <v>187</v>
      </c>
    </row>
    <row r="264" ht="15.75" customHeight="1">
      <c r="A264" s="1" t="s">
        <v>327</v>
      </c>
      <c r="B264" s="1">
        <v>263.0</v>
      </c>
      <c r="C264" s="1">
        <v>1.0</v>
      </c>
      <c r="D264" s="1">
        <v>452.0</v>
      </c>
      <c r="E264" s="1" t="s">
        <v>187</v>
      </c>
    </row>
    <row r="265" ht="15.75" customHeight="1">
      <c r="A265" s="1" t="s">
        <v>328</v>
      </c>
      <c r="B265" s="1">
        <v>264.0</v>
      </c>
      <c r="C265" s="1">
        <v>1.0</v>
      </c>
      <c r="D265" s="1">
        <v>453.0</v>
      </c>
      <c r="E265" s="1" t="s">
        <v>187</v>
      </c>
    </row>
    <row r="266" ht="15.75" customHeight="1">
      <c r="A266" s="1" t="s">
        <v>329</v>
      </c>
      <c r="B266" s="1">
        <v>265.0</v>
      </c>
      <c r="C266" s="1">
        <v>1.0</v>
      </c>
      <c r="D266" s="1">
        <v>454.0</v>
      </c>
      <c r="E266" s="1" t="s">
        <v>187</v>
      </c>
    </row>
    <row r="267" ht="15.75" customHeight="1">
      <c r="A267" s="1" t="s">
        <v>330</v>
      </c>
      <c r="B267" s="1">
        <v>266.0</v>
      </c>
      <c r="C267" s="1">
        <v>1.0</v>
      </c>
      <c r="D267" s="1">
        <v>455.0</v>
      </c>
      <c r="E267" s="1" t="s">
        <v>187</v>
      </c>
    </row>
    <row r="268" ht="15.75" customHeight="1">
      <c r="A268" s="1" t="s">
        <v>331</v>
      </c>
      <c r="B268" s="1">
        <v>267.0</v>
      </c>
      <c r="C268" s="1">
        <v>1.0</v>
      </c>
      <c r="D268" s="1">
        <v>456.0</v>
      </c>
      <c r="E268" s="1" t="s">
        <v>187</v>
      </c>
    </row>
    <row r="269" ht="15.75" customHeight="1">
      <c r="A269" s="1" t="s">
        <v>332</v>
      </c>
      <c r="B269" s="1">
        <v>268.0</v>
      </c>
      <c r="C269" s="1">
        <v>1.0</v>
      </c>
      <c r="D269" s="1">
        <v>457.0</v>
      </c>
      <c r="E269" s="1" t="s">
        <v>187</v>
      </c>
    </row>
    <row r="270" ht="15.75" customHeight="1">
      <c r="A270" s="1" t="s">
        <v>333</v>
      </c>
      <c r="B270" s="1">
        <v>269.0</v>
      </c>
      <c r="C270" s="1">
        <v>1.0</v>
      </c>
      <c r="D270" s="1">
        <v>458.0</v>
      </c>
      <c r="E270" s="1" t="s">
        <v>187</v>
      </c>
    </row>
    <row r="271" ht="15.75" customHeight="1">
      <c r="A271" s="1" t="s">
        <v>334</v>
      </c>
      <c r="B271" s="1">
        <v>270.0</v>
      </c>
      <c r="C271" s="1">
        <v>1.0</v>
      </c>
      <c r="D271" s="1">
        <v>459.0</v>
      </c>
      <c r="E271" s="1" t="s">
        <v>187</v>
      </c>
    </row>
    <row r="272" ht="15.75" customHeight="1">
      <c r="A272" s="1" t="s">
        <v>335</v>
      </c>
      <c r="B272" s="1">
        <v>271.0</v>
      </c>
      <c r="C272" s="1">
        <v>1.0</v>
      </c>
      <c r="D272" s="1">
        <v>460.0</v>
      </c>
      <c r="E272" s="1" t="s">
        <v>187</v>
      </c>
    </row>
    <row r="273" ht="15.75" customHeight="1">
      <c r="A273" s="1" t="s">
        <v>336</v>
      </c>
      <c r="B273" s="1">
        <v>272.0</v>
      </c>
      <c r="C273" s="1">
        <v>1.0</v>
      </c>
      <c r="D273" s="1">
        <v>461.0</v>
      </c>
      <c r="E273" s="1" t="s">
        <v>187</v>
      </c>
    </row>
    <row r="274" ht="15.75" customHeight="1">
      <c r="A274" s="1" t="s">
        <v>337</v>
      </c>
      <c r="B274" s="1">
        <v>273.0</v>
      </c>
      <c r="C274" s="1">
        <v>1.0</v>
      </c>
      <c r="D274" s="1">
        <v>462.0</v>
      </c>
      <c r="E274" s="1" t="s">
        <v>187</v>
      </c>
    </row>
    <row r="275" ht="15.75" customHeight="1">
      <c r="A275" s="1" t="s">
        <v>338</v>
      </c>
      <c r="B275" s="1">
        <v>274.0</v>
      </c>
      <c r="C275" s="1">
        <v>1.0</v>
      </c>
      <c r="D275" s="1">
        <v>463.0</v>
      </c>
      <c r="E275" s="1" t="s">
        <v>187</v>
      </c>
    </row>
    <row r="276" ht="15.75" customHeight="1">
      <c r="A276" s="1" t="s">
        <v>339</v>
      </c>
      <c r="B276" s="1">
        <v>275.0</v>
      </c>
      <c r="C276" s="1">
        <v>1.0</v>
      </c>
      <c r="D276" s="1">
        <v>464.0</v>
      </c>
      <c r="E276" s="1" t="s">
        <v>187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340</v>
      </c>
      <c r="B1" s="1" t="s">
        <v>54</v>
      </c>
    </row>
    <row r="2">
      <c r="A2" s="1" t="s">
        <v>62</v>
      </c>
      <c r="B2" s="1">
        <v>55.0</v>
      </c>
    </row>
    <row r="3">
      <c r="A3" s="1" t="s">
        <v>64</v>
      </c>
      <c r="B3" s="1">
        <v>21.0</v>
      </c>
    </row>
    <row r="4">
      <c r="A4" s="1" t="s">
        <v>65</v>
      </c>
      <c r="B4" s="1">
        <v>14.0</v>
      </c>
    </row>
    <row r="5">
      <c r="A5" s="1" t="s">
        <v>66</v>
      </c>
      <c r="B5" s="1">
        <v>7.0</v>
      </c>
    </row>
    <row r="6">
      <c r="A6" s="1" t="s">
        <v>67</v>
      </c>
      <c r="B6" s="1">
        <v>7.0</v>
      </c>
    </row>
    <row r="7">
      <c r="A7" s="1" t="s">
        <v>68</v>
      </c>
      <c r="B7" s="1">
        <v>7.0</v>
      </c>
    </row>
    <row r="8">
      <c r="A8" s="1" t="s">
        <v>69</v>
      </c>
      <c r="B8" s="1">
        <v>6.0</v>
      </c>
    </row>
    <row r="9">
      <c r="A9" s="1" t="s">
        <v>70</v>
      </c>
      <c r="B9" s="1">
        <v>5.0</v>
      </c>
    </row>
    <row r="10">
      <c r="A10" s="1" t="s">
        <v>71</v>
      </c>
      <c r="B10" s="1">
        <v>5.0</v>
      </c>
    </row>
    <row r="11">
      <c r="A11" s="1" t="s">
        <v>72</v>
      </c>
      <c r="B11" s="1">
        <v>4.0</v>
      </c>
    </row>
    <row r="12">
      <c r="A12" s="1" t="s">
        <v>73</v>
      </c>
      <c r="B12" s="1">
        <v>4.0</v>
      </c>
    </row>
    <row r="13">
      <c r="A13" s="1" t="s">
        <v>74</v>
      </c>
      <c r="B13" s="1">
        <v>3.0</v>
      </c>
    </row>
    <row r="14">
      <c r="A14" s="1" t="s">
        <v>75</v>
      </c>
      <c r="B14" s="1">
        <v>3.0</v>
      </c>
    </row>
    <row r="15">
      <c r="A15" s="1" t="s">
        <v>76</v>
      </c>
      <c r="B15" s="1">
        <v>3.0</v>
      </c>
    </row>
    <row r="16">
      <c r="A16" s="1" t="s">
        <v>77</v>
      </c>
      <c r="B16" s="1">
        <v>3.0</v>
      </c>
    </row>
    <row r="17">
      <c r="A17" s="1" t="s">
        <v>78</v>
      </c>
      <c r="B17" s="1">
        <v>3.0</v>
      </c>
    </row>
    <row r="18">
      <c r="A18" s="1" t="s">
        <v>79</v>
      </c>
      <c r="B18" s="1">
        <v>3.0</v>
      </c>
    </row>
    <row r="19">
      <c r="A19" s="1" t="s">
        <v>80</v>
      </c>
      <c r="B19" s="1">
        <v>3.0</v>
      </c>
    </row>
    <row r="20">
      <c r="A20" s="1" t="s">
        <v>81</v>
      </c>
      <c r="B20" s="1">
        <v>3.0</v>
      </c>
    </row>
    <row r="21" ht="15.75" customHeight="1">
      <c r="A21" s="1" t="s">
        <v>83</v>
      </c>
      <c r="B21" s="1">
        <v>3.0</v>
      </c>
    </row>
    <row r="22" ht="15.75" customHeight="1">
      <c r="A22" s="1" t="s">
        <v>84</v>
      </c>
      <c r="B22" s="1">
        <v>3.0</v>
      </c>
    </row>
    <row r="23" ht="15.75" customHeight="1">
      <c r="A23" s="1" t="s">
        <v>85</v>
      </c>
      <c r="B23" s="1">
        <v>3.0</v>
      </c>
    </row>
    <row r="24" ht="15.75" customHeight="1">
      <c r="A24" s="1" t="s">
        <v>86</v>
      </c>
      <c r="B24" s="1">
        <v>3.0</v>
      </c>
    </row>
    <row r="25" ht="15.75" customHeight="1">
      <c r="A25" s="1" t="s">
        <v>87</v>
      </c>
      <c r="B25" s="1">
        <v>3.0</v>
      </c>
    </row>
    <row r="26" ht="15.75" customHeight="1">
      <c r="A26" s="1" t="s">
        <v>88</v>
      </c>
      <c r="B26" s="1">
        <v>3.0</v>
      </c>
    </row>
    <row r="27" ht="15.75" customHeight="1">
      <c r="A27" s="1" t="s">
        <v>89</v>
      </c>
      <c r="B27" s="1">
        <v>2.0</v>
      </c>
    </row>
    <row r="28" ht="15.75" customHeight="1">
      <c r="A28" s="1" t="s">
        <v>90</v>
      </c>
      <c r="B28" s="1">
        <v>2.0</v>
      </c>
    </row>
    <row r="29" ht="15.75" customHeight="1">
      <c r="A29" s="1" t="s">
        <v>91</v>
      </c>
      <c r="B29" s="1">
        <v>2.0</v>
      </c>
    </row>
    <row r="30" ht="15.75" customHeight="1">
      <c r="A30" s="1" t="s">
        <v>92</v>
      </c>
      <c r="B30" s="1">
        <v>2.0</v>
      </c>
    </row>
    <row r="31" ht="15.75" customHeight="1">
      <c r="A31" s="1" t="s">
        <v>93</v>
      </c>
      <c r="B31" s="1">
        <v>2.0</v>
      </c>
    </row>
    <row r="32" ht="15.75" customHeight="1">
      <c r="A32" s="1" t="s">
        <v>94</v>
      </c>
      <c r="B32" s="1">
        <v>2.0</v>
      </c>
    </row>
    <row r="33" ht="15.75" customHeight="1">
      <c r="A33" s="1" t="s">
        <v>95</v>
      </c>
      <c r="B33" s="1">
        <v>2.0</v>
      </c>
    </row>
    <row r="34" ht="15.75" customHeight="1">
      <c r="A34" s="1" t="s">
        <v>96</v>
      </c>
      <c r="B34" s="1">
        <v>2.0</v>
      </c>
    </row>
    <row r="35" ht="15.75" customHeight="1">
      <c r="A35" s="1" t="s">
        <v>97</v>
      </c>
      <c r="B35" s="1">
        <v>2.0</v>
      </c>
    </row>
    <row r="36" ht="15.75" customHeight="1">
      <c r="A36" s="1" t="s">
        <v>98</v>
      </c>
      <c r="B36" s="1">
        <v>2.0</v>
      </c>
      <c r="F36" s="14">
        <f>131/463</f>
        <v>0.282937365</v>
      </c>
    </row>
    <row r="37" ht="15.75" customHeight="1">
      <c r="A37" s="1" t="s">
        <v>99</v>
      </c>
      <c r="B37" s="1">
        <v>2.0</v>
      </c>
    </row>
    <row r="38" ht="15.75" customHeight="1">
      <c r="A38" s="1" t="s">
        <v>100</v>
      </c>
      <c r="B38" s="1">
        <v>2.0</v>
      </c>
    </row>
    <row r="39" ht="15.75" customHeight="1">
      <c r="A39" s="1" t="s">
        <v>101</v>
      </c>
      <c r="B39" s="1">
        <v>2.0</v>
      </c>
    </row>
    <row r="40" ht="15.75" customHeight="1">
      <c r="A40" s="1" t="s">
        <v>102</v>
      </c>
      <c r="B40" s="1">
        <v>2.0</v>
      </c>
    </row>
    <row r="41" ht="15.75" customHeight="1">
      <c r="A41" s="1" t="s">
        <v>103</v>
      </c>
      <c r="B41" s="1">
        <v>2.0</v>
      </c>
    </row>
    <row r="42" ht="15.75" customHeight="1">
      <c r="A42" s="1" t="s">
        <v>104</v>
      </c>
      <c r="B42" s="1">
        <v>2.0</v>
      </c>
    </row>
    <row r="43" ht="15.75" customHeight="1">
      <c r="A43" s="1" t="s">
        <v>105</v>
      </c>
      <c r="B43" s="1">
        <v>2.0</v>
      </c>
    </row>
    <row r="44" ht="15.75" customHeight="1">
      <c r="A44" s="1" t="s">
        <v>106</v>
      </c>
      <c r="B44" s="1">
        <v>2.0</v>
      </c>
    </row>
    <row r="45" ht="15.75" customHeight="1">
      <c r="A45" s="1" t="s">
        <v>107</v>
      </c>
      <c r="B45" s="1">
        <v>2.0</v>
      </c>
    </row>
    <row r="46" ht="15.75" customHeight="1">
      <c r="A46" s="1" t="s">
        <v>108</v>
      </c>
      <c r="B46" s="1">
        <v>2.0</v>
      </c>
    </row>
    <row r="47" ht="15.75" customHeight="1">
      <c r="A47" s="1" t="s">
        <v>109</v>
      </c>
      <c r="B47" s="1">
        <v>2.0</v>
      </c>
    </row>
    <row r="48" ht="15.75" customHeight="1">
      <c r="A48" s="1" t="s">
        <v>110</v>
      </c>
      <c r="B48" s="1">
        <v>2.0</v>
      </c>
    </row>
    <row r="49" ht="15.75" customHeight="1">
      <c r="A49" s="1" t="s">
        <v>111</v>
      </c>
      <c r="B49" s="1">
        <v>2.0</v>
      </c>
    </row>
    <row r="50" ht="15.75" customHeight="1">
      <c r="A50" s="1" t="s">
        <v>112</v>
      </c>
      <c r="B50" s="1">
        <v>2.0</v>
      </c>
    </row>
    <row r="51" ht="15.75" customHeight="1">
      <c r="A51" s="1" t="s">
        <v>113</v>
      </c>
      <c r="B51" s="1">
        <v>2.0</v>
      </c>
    </row>
    <row r="52" ht="15.75" customHeight="1">
      <c r="A52" s="1" t="s">
        <v>114</v>
      </c>
      <c r="B52" s="1">
        <v>2.0</v>
      </c>
    </row>
    <row r="53" ht="15.75" customHeight="1">
      <c r="A53" s="1" t="s">
        <v>115</v>
      </c>
      <c r="B53" s="1">
        <v>2.0</v>
      </c>
    </row>
    <row r="54" ht="15.75" customHeight="1">
      <c r="A54" s="1" t="s">
        <v>116</v>
      </c>
      <c r="B54" s="1">
        <v>2.0</v>
      </c>
    </row>
    <row r="55" ht="15.75" customHeight="1">
      <c r="A55" s="1" t="s">
        <v>117</v>
      </c>
      <c r="B55" s="1">
        <v>2.0</v>
      </c>
    </row>
    <row r="56" ht="15.75" customHeight="1">
      <c r="A56" s="1" t="s">
        <v>118</v>
      </c>
      <c r="B56" s="1">
        <v>2.0</v>
      </c>
    </row>
    <row r="57" ht="15.75" customHeight="1">
      <c r="A57" s="1" t="s">
        <v>119</v>
      </c>
      <c r="B57" s="1">
        <v>2.0</v>
      </c>
    </row>
    <row r="58" ht="15.75" customHeight="1">
      <c r="A58" s="1" t="s">
        <v>120</v>
      </c>
      <c r="B58" s="1">
        <v>2.0</v>
      </c>
    </row>
    <row r="59" ht="15.75" customHeight="1">
      <c r="A59" s="1" t="s">
        <v>121</v>
      </c>
      <c r="B59" s="1">
        <v>2.0</v>
      </c>
    </row>
    <row r="60" ht="15.75" customHeight="1">
      <c r="A60" s="1" t="s">
        <v>122</v>
      </c>
      <c r="B60" s="1">
        <v>2.0</v>
      </c>
    </row>
    <row r="61" ht="15.75" customHeight="1">
      <c r="A61" s="1" t="s">
        <v>123</v>
      </c>
      <c r="B61" s="1">
        <v>2.0</v>
      </c>
    </row>
    <row r="62" ht="15.75" customHeight="1">
      <c r="A62" s="1" t="s">
        <v>124</v>
      </c>
      <c r="B62" s="1">
        <v>2.0</v>
      </c>
    </row>
    <row r="63" ht="15.75" customHeight="1">
      <c r="A63" s="1" t="s">
        <v>125</v>
      </c>
      <c r="B63" s="1">
        <v>2.0</v>
      </c>
    </row>
    <row r="64" ht="15.75" customHeight="1">
      <c r="A64" s="1" t="s">
        <v>126</v>
      </c>
      <c r="B64" s="1">
        <v>1.0</v>
      </c>
    </row>
    <row r="65" ht="15.75" customHeight="1">
      <c r="A65" s="1" t="s">
        <v>127</v>
      </c>
      <c r="B65" s="1">
        <v>1.0</v>
      </c>
    </row>
    <row r="66" ht="15.75" customHeight="1">
      <c r="A66" s="1" t="s">
        <v>128</v>
      </c>
      <c r="B66" s="1">
        <v>1.0</v>
      </c>
    </row>
    <row r="67" ht="15.75" customHeight="1">
      <c r="A67" s="1" t="s">
        <v>129</v>
      </c>
      <c r="B67" s="1">
        <v>1.0</v>
      </c>
    </row>
    <row r="68" ht="15.75" customHeight="1">
      <c r="A68" s="1" t="s">
        <v>130</v>
      </c>
      <c r="B68" s="1">
        <v>1.0</v>
      </c>
    </row>
    <row r="69" ht="15.75" customHeight="1">
      <c r="A69" s="1" t="s">
        <v>131</v>
      </c>
      <c r="B69" s="1">
        <v>1.0</v>
      </c>
    </row>
    <row r="70" ht="15.75" customHeight="1">
      <c r="A70" s="1" t="s">
        <v>132</v>
      </c>
      <c r="B70" s="1">
        <v>1.0</v>
      </c>
    </row>
    <row r="71" ht="15.75" customHeight="1">
      <c r="A71" s="1" t="s">
        <v>133</v>
      </c>
      <c r="B71" s="1">
        <v>1.0</v>
      </c>
    </row>
    <row r="72" ht="15.75" customHeight="1">
      <c r="A72" s="1" t="s">
        <v>134</v>
      </c>
      <c r="B72" s="1">
        <v>1.0</v>
      </c>
    </row>
    <row r="73" ht="15.75" customHeight="1">
      <c r="A73" s="1" t="s">
        <v>135</v>
      </c>
      <c r="B73" s="1">
        <v>1.0</v>
      </c>
    </row>
    <row r="74" ht="15.75" customHeight="1">
      <c r="A74" s="1" t="s">
        <v>136</v>
      </c>
      <c r="B74" s="1">
        <v>1.0</v>
      </c>
    </row>
    <row r="75" ht="15.75" customHeight="1">
      <c r="A75" s="1" t="s">
        <v>137</v>
      </c>
      <c r="B75" s="1">
        <v>1.0</v>
      </c>
    </row>
    <row r="76" ht="15.75" customHeight="1">
      <c r="A76" s="1" t="s">
        <v>138</v>
      </c>
      <c r="B76" s="1">
        <v>1.0</v>
      </c>
    </row>
    <row r="77" ht="15.75" customHeight="1">
      <c r="A77" s="1" t="s">
        <v>139</v>
      </c>
      <c r="B77" s="1">
        <v>1.0</v>
      </c>
    </row>
    <row r="78" ht="15.75" customHeight="1">
      <c r="A78" s="1" t="s">
        <v>140</v>
      </c>
      <c r="B78" s="1">
        <v>1.0</v>
      </c>
    </row>
    <row r="79" ht="15.75" customHeight="1">
      <c r="A79" s="1" t="s">
        <v>141</v>
      </c>
      <c r="B79" s="1">
        <v>1.0</v>
      </c>
    </row>
    <row r="80" ht="15.75" customHeight="1">
      <c r="A80" s="1" t="s">
        <v>142</v>
      </c>
      <c r="B80" s="1">
        <v>1.0</v>
      </c>
    </row>
    <row r="81" ht="15.75" customHeight="1">
      <c r="A81" s="1" t="s">
        <v>143</v>
      </c>
      <c r="B81" s="1">
        <v>1.0</v>
      </c>
    </row>
    <row r="82" ht="15.75" customHeight="1">
      <c r="A82" s="1" t="s">
        <v>144</v>
      </c>
      <c r="B82" s="1">
        <v>1.0</v>
      </c>
    </row>
    <row r="83" ht="15.75" customHeight="1">
      <c r="A83" s="1" t="s">
        <v>145</v>
      </c>
      <c r="B83" s="1">
        <v>1.0</v>
      </c>
    </row>
    <row r="84" ht="15.75" customHeight="1">
      <c r="A84" s="1" t="s">
        <v>146</v>
      </c>
      <c r="B84" s="1">
        <v>1.0</v>
      </c>
    </row>
    <row r="85" ht="15.75" customHeight="1">
      <c r="A85" s="1" t="s">
        <v>147</v>
      </c>
      <c r="B85" s="1">
        <v>1.0</v>
      </c>
    </row>
    <row r="86" ht="15.75" customHeight="1">
      <c r="A86" s="1" t="s">
        <v>148</v>
      </c>
      <c r="B86" s="1">
        <v>1.0</v>
      </c>
    </row>
    <row r="87" ht="15.75" customHeight="1">
      <c r="A87" s="1" t="s">
        <v>149</v>
      </c>
      <c r="B87" s="1">
        <v>1.0</v>
      </c>
    </row>
    <row r="88" ht="15.75" customHeight="1">
      <c r="A88" s="1" t="s">
        <v>150</v>
      </c>
      <c r="B88" s="1">
        <v>1.0</v>
      </c>
    </row>
    <row r="89" ht="15.75" customHeight="1">
      <c r="A89" s="1" t="s">
        <v>151</v>
      </c>
      <c r="B89" s="1">
        <v>1.0</v>
      </c>
    </row>
    <row r="90" ht="15.75" customHeight="1">
      <c r="A90" s="1" t="s">
        <v>152</v>
      </c>
      <c r="B90" s="1">
        <v>1.0</v>
      </c>
    </row>
    <row r="91" ht="15.75" customHeight="1">
      <c r="A91" s="1" t="s">
        <v>153</v>
      </c>
      <c r="B91" s="1">
        <v>1.0</v>
      </c>
    </row>
    <row r="92" ht="15.75" customHeight="1">
      <c r="A92" s="1" t="s">
        <v>154</v>
      </c>
      <c r="B92" s="1">
        <v>1.0</v>
      </c>
    </row>
    <row r="93" ht="15.75" customHeight="1">
      <c r="A93" s="1" t="s">
        <v>155</v>
      </c>
      <c r="B93" s="1">
        <v>1.0</v>
      </c>
    </row>
    <row r="94" ht="15.75" customHeight="1">
      <c r="A94" s="1" t="s">
        <v>156</v>
      </c>
      <c r="B94" s="1">
        <v>1.0</v>
      </c>
    </row>
    <row r="95" ht="15.75" customHeight="1">
      <c r="A95" s="1" t="s">
        <v>157</v>
      </c>
      <c r="B95" s="1">
        <v>1.0</v>
      </c>
    </row>
    <row r="96" ht="15.75" customHeight="1">
      <c r="A96" s="1" t="s">
        <v>158</v>
      </c>
      <c r="B96" s="1">
        <v>1.0</v>
      </c>
    </row>
    <row r="97" ht="15.75" customHeight="1">
      <c r="A97" s="1" t="s">
        <v>159</v>
      </c>
      <c r="B97" s="1">
        <v>1.0</v>
      </c>
    </row>
    <row r="98" ht="15.75" customHeight="1">
      <c r="A98" s="1" t="s">
        <v>160</v>
      </c>
      <c r="B98" s="1">
        <v>1.0</v>
      </c>
    </row>
    <row r="99" ht="15.75" customHeight="1">
      <c r="A99" s="1" t="s">
        <v>161</v>
      </c>
      <c r="B99" s="1">
        <v>1.0</v>
      </c>
    </row>
    <row r="100" ht="15.75" customHeight="1">
      <c r="A100" s="1" t="s">
        <v>162</v>
      </c>
      <c r="B100" s="1">
        <v>1.0</v>
      </c>
    </row>
    <row r="101" ht="15.75" customHeight="1">
      <c r="A101" s="1" t="s">
        <v>163</v>
      </c>
      <c r="B101" s="1">
        <v>1.0</v>
      </c>
    </row>
    <row r="102" ht="15.75" customHeight="1">
      <c r="A102" s="1" t="s">
        <v>164</v>
      </c>
      <c r="B102" s="1">
        <v>1.0</v>
      </c>
    </row>
    <row r="103" ht="15.75" customHeight="1">
      <c r="A103" s="1" t="s">
        <v>165</v>
      </c>
      <c r="B103" s="1">
        <v>1.0</v>
      </c>
    </row>
    <row r="104" ht="15.75" customHeight="1">
      <c r="A104" s="1" t="s">
        <v>166</v>
      </c>
      <c r="B104" s="1">
        <v>1.0</v>
      </c>
    </row>
    <row r="105" ht="15.75" customHeight="1">
      <c r="A105" s="1" t="s">
        <v>167</v>
      </c>
      <c r="B105" s="1">
        <v>1.0</v>
      </c>
    </row>
    <row r="106" ht="15.75" customHeight="1">
      <c r="A106" s="1" t="s">
        <v>168</v>
      </c>
      <c r="B106" s="1">
        <v>1.0</v>
      </c>
    </row>
    <row r="107" ht="15.75" customHeight="1">
      <c r="A107" s="1" t="s">
        <v>169</v>
      </c>
      <c r="B107" s="1">
        <v>1.0</v>
      </c>
    </row>
    <row r="108" ht="15.75" customHeight="1">
      <c r="A108" s="1" t="s">
        <v>170</v>
      </c>
      <c r="B108" s="1">
        <v>1.0</v>
      </c>
    </row>
    <row r="109" ht="15.75" customHeight="1">
      <c r="A109" s="1" t="s">
        <v>171</v>
      </c>
      <c r="B109" s="1">
        <v>1.0</v>
      </c>
    </row>
    <row r="110" ht="15.75" customHeight="1">
      <c r="A110" s="1" t="s">
        <v>172</v>
      </c>
      <c r="B110" s="1">
        <v>1.0</v>
      </c>
    </row>
    <row r="111" ht="15.75" customHeight="1">
      <c r="A111" s="1" t="s">
        <v>173</v>
      </c>
      <c r="B111" s="1">
        <v>1.0</v>
      </c>
    </row>
    <row r="112" ht="15.75" customHeight="1">
      <c r="A112" s="1" t="s">
        <v>174</v>
      </c>
      <c r="B112" s="1">
        <v>1.0</v>
      </c>
    </row>
    <row r="113" ht="15.75" customHeight="1">
      <c r="A113" s="1" t="s">
        <v>175</v>
      </c>
      <c r="B113" s="1">
        <v>1.0</v>
      </c>
    </row>
    <row r="114" ht="15.75" customHeight="1">
      <c r="A114" s="1" t="s">
        <v>176</v>
      </c>
      <c r="B114" s="1">
        <v>1.0</v>
      </c>
    </row>
    <row r="115" ht="15.75" customHeight="1">
      <c r="A115" s="1" t="s">
        <v>177</v>
      </c>
      <c r="B115" s="1">
        <v>1.0</v>
      </c>
    </row>
    <row r="116" ht="15.75" customHeight="1">
      <c r="A116" s="1" t="s">
        <v>178</v>
      </c>
      <c r="B116" s="1">
        <v>1.0</v>
      </c>
    </row>
    <row r="117" ht="15.75" customHeight="1">
      <c r="A117" s="1" t="s">
        <v>179</v>
      </c>
      <c r="B117" s="1">
        <v>1.0</v>
      </c>
    </row>
    <row r="118" ht="15.75" customHeight="1">
      <c r="A118" s="1" t="s">
        <v>180</v>
      </c>
      <c r="B118" s="1">
        <v>1.0</v>
      </c>
    </row>
    <row r="119" ht="15.75" customHeight="1">
      <c r="A119" s="1" t="s">
        <v>181</v>
      </c>
      <c r="B119" s="1">
        <v>1.0</v>
      </c>
    </row>
    <row r="120" ht="15.75" customHeight="1">
      <c r="A120" s="1" t="s">
        <v>182</v>
      </c>
      <c r="B120" s="1">
        <v>1.0</v>
      </c>
    </row>
    <row r="121" ht="15.75" customHeight="1">
      <c r="A121" s="1" t="s">
        <v>183</v>
      </c>
      <c r="B121" s="1">
        <v>1.0</v>
      </c>
    </row>
    <row r="122" ht="15.75" customHeight="1">
      <c r="A122" s="1" t="s">
        <v>184</v>
      </c>
      <c r="B122" s="1">
        <v>1.0</v>
      </c>
    </row>
    <row r="123" ht="15.75" customHeight="1">
      <c r="A123" s="1" t="s">
        <v>185</v>
      </c>
      <c r="B123" s="1">
        <v>1.0</v>
      </c>
    </row>
    <row r="124" ht="15.75" customHeight="1">
      <c r="A124" s="1" t="s">
        <v>186</v>
      </c>
      <c r="B124" s="1">
        <v>1.0</v>
      </c>
    </row>
    <row r="125" ht="15.75" customHeight="1">
      <c r="A125" s="1" t="s">
        <v>188</v>
      </c>
      <c r="B125" s="1">
        <v>1.0</v>
      </c>
    </row>
    <row r="126" ht="15.75" customHeight="1">
      <c r="A126" s="1" t="s">
        <v>189</v>
      </c>
      <c r="B126" s="1">
        <v>1.0</v>
      </c>
    </row>
    <row r="127" ht="15.75" customHeight="1">
      <c r="A127" s="1" t="s">
        <v>190</v>
      </c>
      <c r="B127" s="1">
        <v>1.0</v>
      </c>
    </row>
    <row r="128" ht="15.75" customHeight="1">
      <c r="A128" s="1" t="s">
        <v>191</v>
      </c>
      <c r="B128" s="1">
        <v>1.0</v>
      </c>
    </row>
    <row r="129" ht="15.75" customHeight="1">
      <c r="A129" s="1" t="s">
        <v>192</v>
      </c>
      <c r="B129" s="1">
        <v>1.0</v>
      </c>
    </row>
    <row r="130" ht="15.75" customHeight="1">
      <c r="A130" s="1" t="s">
        <v>193</v>
      </c>
      <c r="B130" s="1">
        <v>1.0</v>
      </c>
    </row>
    <row r="131" ht="15.75" customHeight="1">
      <c r="A131" s="1" t="s">
        <v>194</v>
      </c>
      <c r="B131" s="1">
        <v>1.0</v>
      </c>
    </row>
    <row r="132" ht="15.75" customHeight="1">
      <c r="A132" s="1" t="s">
        <v>195</v>
      </c>
      <c r="B132" s="1">
        <v>1.0</v>
      </c>
    </row>
    <row r="133" ht="15.75" customHeight="1">
      <c r="A133" s="1" t="s">
        <v>196</v>
      </c>
      <c r="B133" s="1">
        <v>1.0</v>
      </c>
    </row>
    <row r="134" ht="15.75" customHeight="1">
      <c r="A134" s="1" t="s">
        <v>197</v>
      </c>
      <c r="B134" s="1">
        <v>1.0</v>
      </c>
    </row>
    <row r="135" ht="15.75" customHeight="1">
      <c r="A135" s="1" t="s">
        <v>198</v>
      </c>
      <c r="B135" s="1">
        <v>1.0</v>
      </c>
    </row>
    <row r="136" ht="15.75" customHeight="1">
      <c r="A136" s="1" t="s">
        <v>199</v>
      </c>
      <c r="B136" s="1">
        <v>1.0</v>
      </c>
    </row>
    <row r="137" ht="15.75" customHeight="1">
      <c r="A137" s="1" t="s">
        <v>200</v>
      </c>
      <c r="B137" s="1">
        <v>1.0</v>
      </c>
    </row>
    <row r="138" ht="15.75" customHeight="1">
      <c r="A138" s="1" t="s">
        <v>201</v>
      </c>
      <c r="B138" s="1">
        <v>1.0</v>
      </c>
    </row>
    <row r="139" ht="15.75" customHeight="1">
      <c r="A139" s="1" t="s">
        <v>202</v>
      </c>
      <c r="B139" s="1">
        <v>1.0</v>
      </c>
    </row>
    <row r="140" ht="15.75" customHeight="1">
      <c r="A140" s="1" t="s">
        <v>203</v>
      </c>
      <c r="B140" s="1">
        <v>1.0</v>
      </c>
    </row>
    <row r="141" ht="15.75" customHeight="1">
      <c r="A141" s="1" t="s">
        <v>204</v>
      </c>
      <c r="B141" s="1">
        <v>1.0</v>
      </c>
    </row>
    <row r="142" ht="15.75" customHeight="1">
      <c r="A142" s="1" t="s">
        <v>205</v>
      </c>
      <c r="B142" s="1">
        <v>1.0</v>
      </c>
    </row>
    <row r="143" ht="15.75" customHeight="1">
      <c r="A143" s="1" t="s">
        <v>206</v>
      </c>
      <c r="B143" s="1">
        <v>1.0</v>
      </c>
    </row>
    <row r="144" ht="15.75" customHeight="1">
      <c r="A144" s="1" t="s">
        <v>207</v>
      </c>
      <c r="B144" s="1">
        <v>1.0</v>
      </c>
    </row>
    <row r="145" ht="15.75" customHeight="1">
      <c r="A145" s="1" t="s">
        <v>208</v>
      </c>
      <c r="B145" s="1">
        <v>1.0</v>
      </c>
    </row>
    <row r="146" ht="15.75" customHeight="1">
      <c r="A146" s="1" t="s">
        <v>209</v>
      </c>
      <c r="B146" s="1">
        <v>1.0</v>
      </c>
    </row>
    <row r="147" ht="15.75" customHeight="1">
      <c r="A147" s="1" t="s">
        <v>210</v>
      </c>
      <c r="B147" s="1">
        <v>1.0</v>
      </c>
    </row>
    <row r="148" ht="15.75" customHeight="1">
      <c r="A148" s="1" t="s">
        <v>211</v>
      </c>
      <c r="B148" s="1">
        <v>1.0</v>
      </c>
    </row>
    <row r="149" ht="15.75" customHeight="1">
      <c r="A149" s="1" t="s">
        <v>212</v>
      </c>
      <c r="B149" s="1">
        <v>1.0</v>
      </c>
    </row>
    <row r="150" ht="15.75" customHeight="1">
      <c r="A150" s="1" t="s">
        <v>213</v>
      </c>
      <c r="B150" s="1">
        <v>1.0</v>
      </c>
    </row>
    <row r="151" ht="15.75" customHeight="1">
      <c r="A151" s="1" t="s">
        <v>214</v>
      </c>
      <c r="B151" s="1">
        <v>1.0</v>
      </c>
    </row>
    <row r="152" ht="15.75" customHeight="1">
      <c r="A152" s="1" t="s">
        <v>215</v>
      </c>
      <c r="B152" s="1">
        <v>1.0</v>
      </c>
    </row>
    <row r="153" ht="15.75" customHeight="1">
      <c r="A153" s="1" t="s">
        <v>216</v>
      </c>
      <c r="B153" s="1">
        <v>1.0</v>
      </c>
    </row>
    <row r="154" ht="15.75" customHeight="1">
      <c r="A154" s="1" t="s">
        <v>217</v>
      </c>
      <c r="B154" s="1">
        <v>1.0</v>
      </c>
    </row>
    <row r="155" ht="15.75" customHeight="1">
      <c r="A155" s="1" t="s">
        <v>218</v>
      </c>
      <c r="B155" s="1">
        <v>1.0</v>
      </c>
    </row>
    <row r="156" ht="15.75" customHeight="1">
      <c r="A156" s="1" t="s">
        <v>219</v>
      </c>
      <c r="B156" s="1">
        <v>1.0</v>
      </c>
    </row>
    <row r="157" ht="15.75" customHeight="1">
      <c r="A157" s="1" t="s">
        <v>220</v>
      </c>
      <c r="B157" s="1">
        <v>1.0</v>
      </c>
    </row>
    <row r="158" ht="15.75" customHeight="1">
      <c r="A158" s="1" t="s">
        <v>221</v>
      </c>
      <c r="B158" s="1">
        <v>1.0</v>
      </c>
    </row>
    <row r="159" ht="15.75" customHeight="1">
      <c r="A159" s="1" t="s">
        <v>222</v>
      </c>
      <c r="B159" s="1">
        <v>1.0</v>
      </c>
    </row>
    <row r="160" ht="15.75" customHeight="1">
      <c r="A160" s="1" t="s">
        <v>223</v>
      </c>
      <c r="B160" s="1">
        <v>1.0</v>
      </c>
    </row>
    <row r="161" ht="15.75" customHeight="1">
      <c r="A161" s="1" t="s">
        <v>224</v>
      </c>
      <c r="B161" s="1">
        <v>1.0</v>
      </c>
    </row>
    <row r="162" ht="15.75" customHeight="1">
      <c r="A162" s="1" t="s">
        <v>225</v>
      </c>
      <c r="B162" s="1">
        <v>1.0</v>
      </c>
    </row>
    <row r="163" ht="15.75" customHeight="1">
      <c r="A163" s="1" t="s">
        <v>226</v>
      </c>
      <c r="B163" s="1">
        <v>1.0</v>
      </c>
    </row>
    <row r="164" ht="15.75" customHeight="1">
      <c r="A164" s="1" t="s">
        <v>227</v>
      </c>
      <c r="B164" s="1">
        <v>1.0</v>
      </c>
    </row>
    <row r="165" ht="15.75" customHeight="1">
      <c r="A165" s="1" t="s">
        <v>228</v>
      </c>
      <c r="B165" s="1">
        <v>1.0</v>
      </c>
    </row>
    <row r="166" ht="15.75" customHeight="1">
      <c r="A166" s="1" t="s">
        <v>229</v>
      </c>
      <c r="B166" s="1">
        <v>1.0</v>
      </c>
    </row>
    <row r="167" ht="15.75" customHeight="1">
      <c r="A167" s="1" t="s">
        <v>230</v>
      </c>
      <c r="B167" s="1">
        <v>1.0</v>
      </c>
    </row>
    <row r="168" ht="15.75" customHeight="1">
      <c r="A168" s="1" t="s">
        <v>231</v>
      </c>
      <c r="B168" s="1">
        <v>1.0</v>
      </c>
    </row>
    <row r="169" ht="15.75" customHeight="1">
      <c r="A169" s="1" t="s">
        <v>232</v>
      </c>
      <c r="B169" s="1">
        <v>1.0</v>
      </c>
    </row>
    <row r="170" ht="15.75" customHeight="1">
      <c r="A170" s="1" t="s">
        <v>233</v>
      </c>
      <c r="B170" s="1">
        <v>1.0</v>
      </c>
    </row>
    <row r="171" ht="15.75" customHeight="1">
      <c r="A171" s="1" t="s">
        <v>234</v>
      </c>
      <c r="B171" s="1">
        <v>1.0</v>
      </c>
    </row>
    <row r="172" ht="15.75" customHeight="1">
      <c r="A172" s="1" t="s">
        <v>235</v>
      </c>
      <c r="B172" s="1">
        <v>1.0</v>
      </c>
    </row>
    <row r="173" ht="15.75" customHeight="1">
      <c r="A173" s="1" t="s">
        <v>236</v>
      </c>
      <c r="B173" s="1">
        <v>1.0</v>
      </c>
    </row>
    <row r="174" ht="15.75" customHeight="1">
      <c r="A174" s="1" t="s">
        <v>237</v>
      </c>
      <c r="B174" s="1">
        <v>1.0</v>
      </c>
    </row>
    <row r="175" ht="15.75" customHeight="1">
      <c r="A175" s="1" t="s">
        <v>238</v>
      </c>
      <c r="B175" s="1">
        <v>1.0</v>
      </c>
    </row>
    <row r="176" ht="15.75" customHeight="1">
      <c r="A176" s="1" t="s">
        <v>239</v>
      </c>
      <c r="B176" s="1">
        <v>1.0</v>
      </c>
    </row>
    <row r="177" ht="15.75" customHeight="1">
      <c r="A177" s="1" t="s">
        <v>240</v>
      </c>
      <c r="B177" s="1">
        <v>1.0</v>
      </c>
    </row>
    <row r="178" ht="15.75" customHeight="1">
      <c r="A178" s="1" t="s">
        <v>241</v>
      </c>
      <c r="B178" s="1">
        <v>1.0</v>
      </c>
    </row>
    <row r="179" ht="15.75" customHeight="1">
      <c r="A179" s="1" t="s">
        <v>242</v>
      </c>
      <c r="B179" s="1">
        <v>1.0</v>
      </c>
    </row>
    <row r="180" ht="15.75" customHeight="1">
      <c r="A180" s="1" t="s">
        <v>243</v>
      </c>
      <c r="B180" s="1">
        <v>1.0</v>
      </c>
    </row>
    <row r="181" ht="15.75" customHeight="1">
      <c r="A181" s="1" t="s">
        <v>244</v>
      </c>
      <c r="B181" s="1">
        <v>1.0</v>
      </c>
    </row>
    <row r="182" ht="15.75" customHeight="1">
      <c r="A182" s="1" t="s">
        <v>245</v>
      </c>
      <c r="B182" s="1">
        <v>1.0</v>
      </c>
    </row>
    <row r="183" ht="15.75" customHeight="1">
      <c r="A183" s="1" t="s">
        <v>246</v>
      </c>
      <c r="B183" s="1">
        <v>1.0</v>
      </c>
    </row>
    <row r="184" ht="15.75" customHeight="1">
      <c r="A184" s="1" t="s">
        <v>247</v>
      </c>
      <c r="B184" s="1">
        <v>1.0</v>
      </c>
    </row>
    <row r="185" ht="15.75" customHeight="1">
      <c r="A185" s="1" t="s">
        <v>248</v>
      </c>
      <c r="B185" s="1">
        <v>1.0</v>
      </c>
    </row>
    <row r="186" ht="15.75" customHeight="1">
      <c r="A186" s="1" t="s">
        <v>249</v>
      </c>
      <c r="B186" s="1">
        <v>1.0</v>
      </c>
    </row>
    <row r="187" ht="15.75" customHeight="1">
      <c r="A187" s="1" t="s">
        <v>250</v>
      </c>
      <c r="B187" s="1">
        <v>1.0</v>
      </c>
    </row>
    <row r="188" ht="15.75" customHeight="1">
      <c r="A188" s="1" t="s">
        <v>251</v>
      </c>
      <c r="B188" s="1">
        <v>1.0</v>
      </c>
    </row>
    <row r="189" ht="15.75" customHeight="1">
      <c r="A189" s="1" t="s">
        <v>252</v>
      </c>
      <c r="B189" s="1">
        <v>1.0</v>
      </c>
    </row>
    <row r="190" ht="15.75" customHeight="1">
      <c r="A190" s="1" t="s">
        <v>253</v>
      </c>
      <c r="B190" s="1">
        <v>1.0</v>
      </c>
    </row>
    <row r="191" ht="15.75" customHeight="1">
      <c r="A191" s="1" t="s">
        <v>254</v>
      </c>
      <c r="B191" s="1">
        <v>1.0</v>
      </c>
    </row>
    <row r="192" ht="15.75" customHeight="1">
      <c r="A192" s="1" t="s">
        <v>255</v>
      </c>
      <c r="B192" s="1">
        <v>1.0</v>
      </c>
    </row>
    <row r="193" ht="15.75" customHeight="1">
      <c r="A193" s="1" t="s">
        <v>256</v>
      </c>
      <c r="B193" s="1">
        <v>1.0</v>
      </c>
    </row>
    <row r="194" ht="15.75" customHeight="1">
      <c r="A194" s="1" t="s">
        <v>257</v>
      </c>
      <c r="B194" s="1">
        <v>1.0</v>
      </c>
    </row>
    <row r="195" ht="15.75" customHeight="1">
      <c r="A195" s="1" t="s">
        <v>258</v>
      </c>
      <c r="B195" s="1">
        <v>1.0</v>
      </c>
    </row>
    <row r="196" ht="15.75" customHeight="1">
      <c r="A196" s="1" t="s">
        <v>259</v>
      </c>
      <c r="B196" s="1">
        <v>1.0</v>
      </c>
    </row>
    <row r="197" ht="15.75" customHeight="1">
      <c r="A197" s="1" t="s">
        <v>260</v>
      </c>
      <c r="B197" s="1">
        <v>1.0</v>
      </c>
    </row>
    <row r="198" ht="15.75" customHeight="1">
      <c r="A198" s="1" t="s">
        <v>261</v>
      </c>
      <c r="B198" s="1">
        <v>1.0</v>
      </c>
    </row>
    <row r="199" ht="15.75" customHeight="1">
      <c r="A199" s="1" t="s">
        <v>262</v>
      </c>
      <c r="B199" s="1">
        <v>1.0</v>
      </c>
    </row>
    <row r="200" ht="15.75" customHeight="1">
      <c r="A200" s="1" t="s">
        <v>263</v>
      </c>
      <c r="B200" s="1">
        <v>1.0</v>
      </c>
    </row>
    <row r="201" ht="15.75" customHeight="1">
      <c r="A201" s="1" t="s">
        <v>264</v>
      </c>
      <c r="B201" s="1">
        <v>1.0</v>
      </c>
    </row>
    <row r="202" ht="15.75" customHeight="1">
      <c r="A202" s="1" t="s">
        <v>265</v>
      </c>
      <c r="B202" s="1">
        <v>1.0</v>
      </c>
    </row>
    <row r="203" ht="15.75" customHeight="1">
      <c r="A203" s="1" t="s">
        <v>266</v>
      </c>
      <c r="B203" s="1">
        <v>1.0</v>
      </c>
    </row>
    <row r="204" ht="15.75" customHeight="1">
      <c r="A204" s="1" t="s">
        <v>267</v>
      </c>
      <c r="B204" s="1">
        <v>1.0</v>
      </c>
    </row>
    <row r="205" ht="15.75" customHeight="1">
      <c r="A205" s="1" t="s">
        <v>268</v>
      </c>
      <c r="B205" s="1">
        <v>1.0</v>
      </c>
    </row>
    <row r="206" ht="15.75" customHeight="1">
      <c r="A206" s="1" t="s">
        <v>269</v>
      </c>
      <c r="B206" s="1">
        <v>1.0</v>
      </c>
    </row>
    <row r="207" ht="15.75" customHeight="1">
      <c r="A207" s="1" t="s">
        <v>270</v>
      </c>
      <c r="B207" s="1">
        <v>1.0</v>
      </c>
    </row>
    <row r="208" ht="15.75" customHeight="1">
      <c r="A208" s="1" t="s">
        <v>271</v>
      </c>
      <c r="B208" s="1">
        <v>1.0</v>
      </c>
    </row>
    <row r="209" ht="15.75" customHeight="1">
      <c r="A209" s="1" t="s">
        <v>272</v>
      </c>
      <c r="B209" s="1">
        <v>1.0</v>
      </c>
    </row>
    <row r="210" ht="15.75" customHeight="1">
      <c r="A210" s="1" t="s">
        <v>273</v>
      </c>
      <c r="B210" s="1">
        <v>1.0</v>
      </c>
    </row>
    <row r="211" ht="15.75" customHeight="1">
      <c r="A211" s="1" t="s">
        <v>274</v>
      </c>
      <c r="B211" s="1">
        <v>1.0</v>
      </c>
    </row>
    <row r="212" ht="15.75" customHeight="1">
      <c r="A212" s="1" t="s">
        <v>275</v>
      </c>
      <c r="B212" s="1">
        <v>1.0</v>
      </c>
    </row>
    <row r="213" ht="15.75" customHeight="1">
      <c r="A213" s="1" t="s">
        <v>276</v>
      </c>
      <c r="B213" s="1">
        <v>1.0</v>
      </c>
    </row>
    <row r="214" ht="15.75" customHeight="1">
      <c r="A214" s="1" t="s">
        <v>277</v>
      </c>
      <c r="B214" s="1">
        <v>1.0</v>
      </c>
    </row>
    <row r="215" ht="15.75" customHeight="1">
      <c r="A215" s="1" t="s">
        <v>278</v>
      </c>
      <c r="B215" s="1">
        <v>1.0</v>
      </c>
    </row>
    <row r="216" ht="15.75" customHeight="1">
      <c r="A216" s="1" t="s">
        <v>279</v>
      </c>
      <c r="B216" s="1">
        <v>1.0</v>
      </c>
    </row>
    <row r="217" ht="15.75" customHeight="1">
      <c r="A217" s="1" t="s">
        <v>280</v>
      </c>
      <c r="B217" s="1">
        <v>1.0</v>
      </c>
    </row>
    <row r="218" ht="15.75" customHeight="1">
      <c r="A218" s="1" t="s">
        <v>281</v>
      </c>
      <c r="B218" s="1">
        <v>1.0</v>
      </c>
    </row>
    <row r="219" ht="15.75" customHeight="1">
      <c r="A219" s="1" t="s">
        <v>282</v>
      </c>
      <c r="B219" s="1">
        <v>1.0</v>
      </c>
    </row>
    <row r="220" ht="15.75" customHeight="1">
      <c r="A220" s="1" t="s">
        <v>283</v>
      </c>
      <c r="B220" s="1">
        <v>1.0</v>
      </c>
    </row>
    <row r="221" ht="15.75" customHeight="1">
      <c r="A221" s="1" t="s">
        <v>284</v>
      </c>
      <c r="B221" s="1">
        <v>1.0</v>
      </c>
    </row>
    <row r="222" ht="15.75" customHeight="1">
      <c r="A222" s="1" t="s">
        <v>285</v>
      </c>
      <c r="B222" s="1">
        <v>1.0</v>
      </c>
    </row>
    <row r="223" ht="15.75" customHeight="1">
      <c r="A223" s="1" t="s">
        <v>286</v>
      </c>
      <c r="B223" s="1">
        <v>1.0</v>
      </c>
    </row>
    <row r="224" ht="15.75" customHeight="1">
      <c r="A224" s="1" t="s">
        <v>287</v>
      </c>
      <c r="B224" s="1">
        <v>1.0</v>
      </c>
    </row>
    <row r="225" ht="15.75" customHeight="1">
      <c r="A225" s="1" t="s">
        <v>288</v>
      </c>
      <c r="B225" s="1">
        <v>1.0</v>
      </c>
    </row>
    <row r="226" ht="15.75" customHeight="1">
      <c r="A226" s="1" t="s">
        <v>289</v>
      </c>
      <c r="B226" s="1">
        <v>1.0</v>
      </c>
    </row>
    <row r="227" ht="15.75" customHeight="1">
      <c r="A227" s="1" t="s">
        <v>290</v>
      </c>
      <c r="B227" s="1">
        <v>1.0</v>
      </c>
    </row>
    <row r="228" ht="15.75" customHeight="1">
      <c r="A228" s="1" t="s">
        <v>291</v>
      </c>
      <c r="B228" s="1">
        <v>1.0</v>
      </c>
    </row>
    <row r="229" ht="15.75" customHeight="1">
      <c r="A229" s="1" t="s">
        <v>292</v>
      </c>
      <c r="B229" s="1">
        <v>1.0</v>
      </c>
    </row>
    <row r="230" ht="15.75" customHeight="1">
      <c r="A230" s="1" t="s">
        <v>293</v>
      </c>
      <c r="B230" s="1">
        <v>1.0</v>
      </c>
    </row>
    <row r="231" ht="15.75" customHeight="1">
      <c r="A231" s="1" t="s">
        <v>294</v>
      </c>
      <c r="B231" s="1">
        <v>1.0</v>
      </c>
    </row>
    <row r="232" ht="15.75" customHeight="1">
      <c r="A232" s="1" t="s">
        <v>295</v>
      </c>
      <c r="B232" s="1">
        <v>1.0</v>
      </c>
    </row>
    <row r="233" ht="15.75" customHeight="1">
      <c r="A233" s="1" t="s">
        <v>296</v>
      </c>
      <c r="B233" s="1">
        <v>1.0</v>
      </c>
    </row>
    <row r="234" ht="15.75" customHeight="1">
      <c r="A234" s="1" t="s">
        <v>297</v>
      </c>
      <c r="B234" s="1">
        <v>1.0</v>
      </c>
    </row>
    <row r="235" ht="15.75" customHeight="1">
      <c r="A235" s="1" t="s">
        <v>298</v>
      </c>
      <c r="B235" s="1">
        <v>1.0</v>
      </c>
    </row>
    <row r="236" ht="15.75" customHeight="1">
      <c r="A236" s="1" t="s">
        <v>299</v>
      </c>
      <c r="B236" s="1">
        <v>1.0</v>
      </c>
    </row>
    <row r="237" ht="15.75" customHeight="1">
      <c r="A237" s="1" t="s">
        <v>300</v>
      </c>
      <c r="B237" s="1">
        <v>1.0</v>
      </c>
    </row>
    <row r="238" ht="15.75" customHeight="1">
      <c r="A238" s="1" t="s">
        <v>301</v>
      </c>
      <c r="B238" s="1">
        <v>1.0</v>
      </c>
    </row>
    <row r="239" ht="15.75" customHeight="1">
      <c r="A239" s="1" t="s">
        <v>302</v>
      </c>
      <c r="B239" s="1">
        <v>1.0</v>
      </c>
    </row>
    <row r="240" ht="15.75" customHeight="1">
      <c r="A240" s="1" t="s">
        <v>303</v>
      </c>
      <c r="B240" s="1">
        <v>1.0</v>
      </c>
    </row>
    <row r="241" ht="15.75" customHeight="1">
      <c r="A241" s="1" t="s">
        <v>304</v>
      </c>
      <c r="B241" s="1">
        <v>1.0</v>
      </c>
    </row>
    <row r="242" ht="15.75" customHeight="1">
      <c r="A242" s="1" t="s">
        <v>305</v>
      </c>
      <c r="B242" s="1">
        <v>1.0</v>
      </c>
    </row>
    <row r="243" ht="15.75" customHeight="1">
      <c r="A243" s="1" t="s">
        <v>306</v>
      </c>
      <c r="B243" s="1">
        <v>1.0</v>
      </c>
    </row>
    <row r="244" ht="15.75" customHeight="1">
      <c r="A244" s="1" t="s">
        <v>307</v>
      </c>
      <c r="B244" s="1">
        <v>1.0</v>
      </c>
    </row>
    <row r="245" ht="15.75" customHeight="1">
      <c r="A245" s="1" t="s">
        <v>308</v>
      </c>
      <c r="B245" s="1">
        <v>1.0</v>
      </c>
    </row>
    <row r="246" ht="15.75" customHeight="1">
      <c r="A246" s="1" t="s">
        <v>309</v>
      </c>
      <c r="B246" s="1">
        <v>1.0</v>
      </c>
    </row>
    <row r="247" ht="15.75" customHeight="1">
      <c r="A247" s="1" t="s">
        <v>310</v>
      </c>
      <c r="B247" s="1">
        <v>1.0</v>
      </c>
    </row>
    <row r="248" ht="15.75" customHeight="1">
      <c r="A248" s="1" t="s">
        <v>311</v>
      </c>
      <c r="B248" s="1">
        <v>1.0</v>
      </c>
    </row>
    <row r="249" ht="15.75" customHeight="1">
      <c r="A249" s="1" t="s">
        <v>312</v>
      </c>
      <c r="B249" s="1">
        <v>1.0</v>
      </c>
    </row>
    <row r="250" ht="15.75" customHeight="1">
      <c r="A250" s="1" t="s">
        <v>313</v>
      </c>
      <c r="B250" s="1">
        <v>1.0</v>
      </c>
    </row>
    <row r="251" ht="15.75" customHeight="1">
      <c r="A251" s="1" t="s">
        <v>314</v>
      </c>
      <c r="B251" s="1">
        <v>1.0</v>
      </c>
    </row>
    <row r="252" ht="15.75" customHeight="1">
      <c r="A252" s="1" t="s">
        <v>315</v>
      </c>
      <c r="B252" s="1">
        <v>1.0</v>
      </c>
    </row>
    <row r="253" ht="15.75" customHeight="1">
      <c r="A253" s="1" t="s">
        <v>316</v>
      </c>
      <c r="B253" s="1">
        <v>1.0</v>
      </c>
    </row>
    <row r="254" ht="15.75" customHeight="1">
      <c r="A254" s="1" t="s">
        <v>317</v>
      </c>
      <c r="B254" s="1">
        <v>1.0</v>
      </c>
    </row>
    <row r="255" ht="15.75" customHeight="1">
      <c r="A255" s="1" t="s">
        <v>318</v>
      </c>
      <c r="B255" s="1">
        <v>1.0</v>
      </c>
    </row>
    <row r="256" ht="15.75" customHeight="1">
      <c r="A256" s="1" t="s">
        <v>319</v>
      </c>
      <c r="B256" s="1">
        <v>1.0</v>
      </c>
    </row>
    <row r="257" ht="15.75" customHeight="1">
      <c r="A257" s="1" t="s">
        <v>320</v>
      </c>
      <c r="B257" s="1">
        <v>1.0</v>
      </c>
    </row>
    <row r="258" ht="15.75" customHeight="1">
      <c r="A258" s="1" t="s">
        <v>321</v>
      </c>
      <c r="B258" s="1">
        <v>1.0</v>
      </c>
    </row>
    <row r="259" ht="15.75" customHeight="1">
      <c r="A259" s="1" t="s">
        <v>322</v>
      </c>
      <c r="B259" s="1">
        <v>1.0</v>
      </c>
    </row>
    <row r="260" ht="15.75" customHeight="1">
      <c r="A260" s="1" t="s">
        <v>323</v>
      </c>
      <c r="B260" s="1">
        <v>1.0</v>
      </c>
    </row>
    <row r="261" ht="15.75" customHeight="1">
      <c r="A261" s="1" t="s">
        <v>324</v>
      </c>
      <c r="B261" s="1">
        <v>1.0</v>
      </c>
    </row>
    <row r="262" ht="15.75" customHeight="1">
      <c r="A262" s="1" t="s">
        <v>325</v>
      </c>
      <c r="B262" s="1">
        <v>1.0</v>
      </c>
    </row>
    <row r="263" ht="15.75" customHeight="1">
      <c r="A263" s="1" t="s">
        <v>326</v>
      </c>
      <c r="B263" s="1">
        <v>1.0</v>
      </c>
    </row>
    <row r="264" ht="15.75" customHeight="1">
      <c r="A264" s="1" t="s">
        <v>327</v>
      </c>
      <c r="B264" s="1">
        <v>1.0</v>
      </c>
    </row>
    <row r="265" ht="15.75" customHeight="1">
      <c r="A265" s="1" t="s">
        <v>328</v>
      </c>
      <c r="B265" s="1">
        <v>1.0</v>
      </c>
    </row>
    <row r="266" ht="15.75" customHeight="1">
      <c r="A266" s="1" t="s">
        <v>329</v>
      </c>
      <c r="B266" s="1">
        <v>1.0</v>
      </c>
    </row>
    <row r="267" ht="15.75" customHeight="1">
      <c r="A267" s="1" t="s">
        <v>330</v>
      </c>
      <c r="B267" s="1">
        <v>1.0</v>
      </c>
    </row>
    <row r="268" ht="15.75" customHeight="1">
      <c r="A268" s="1" t="s">
        <v>331</v>
      </c>
      <c r="B268" s="1">
        <v>1.0</v>
      </c>
    </row>
    <row r="269" ht="15.75" customHeight="1">
      <c r="A269" s="1" t="s">
        <v>332</v>
      </c>
      <c r="B269" s="1">
        <v>1.0</v>
      </c>
    </row>
    <row r="270" ht="15.75" customHeight="1">
      <c r="A270" s="1" t="s">
        <v>333</v>
      </c>
      <c r="B270" s="1">
        <v>1.0</v>
      </c>
    </row>
    <row r="271" ht="15.75" customHeight="1">
      <c r="A271" s="1" t="s">
        <v>334</v>
      </c>
      <c r="B271" s="1">
        <v>1.0</v>
      </c>
    </row>
    <row r="272" ht="15.75" customHeight="1">
      <c r="A272" s="1" t="s">
        <v>335</v>
      </c>
      <c r="B272" s="1">
        <v>1.0</v>
      </c>
    </row>
    <row r="273" ht="15.75" customHeight="1">
      <c r="A273" s="1" t="s">
        <v>336</v>
      </c>
      <c r="B273" s="1">
        <v>1.0</v>
      </c>
    </row>
    <row r="274" ht="15.75" customHeight="1">
      <c r="A274" s="1" t="s">
        <v>337</v>
      </c>
      <c r="B274" s="1">
        <v>1.0</v>
      </c>
    </row>
    <row r="275" ht="15.75" customHeight="1">
      <c r="A275" s="1" t="s">
        <v>338</v>
      </c>
      <c r="B275" s="1">
        <v>1.0</v>
      </c>
    </row>
    <row r="276" ht="15.75" customHeight="1">
      <c r="A276" s="1" t="s">
        <v>339</v>
      </c>
      <c r="B276" s="1">
        <v>1.0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5" t="s">
        <v>341</v>
      </c>
      <c r="B1" s="15" t="s">
        <v>342</v>
      </c>
      <c r="C1" s="15" t="s">
        <v>343</v>
      </c>
      <c r="D1" s="15" t="s">
        <v>344</v>
      </c>
      <c r="E1" s="15" t="s">
        <v>345</v>
      </c>
      <c r="F1" s="15" t="s">
        <v>346</v>
      </c>
      <c r="G1" s="15" t="s">
        <v>347</v>
      </c>
    </row>
    <row r="2">
      <c r="A2" s="15" t="s">
        <v>62</v>
      </c>
      <c r="B2" s="15">
        <v>15.0</v>
      </c>
      <c r="C2" s="15">
        <v>25.0</v>
      </c>
      <c r="D2" s="15">
        <v>1.25</v>
      </c>
      <c r="E2" s="15">
        <v>734.0</v>
      </c>
      <c r="F2" s="15">
        <v>55.0</v>
      </c>
      <c r="G2" s="15">
        <v>2013.0</v>
      </c>
    </row>
    <row r="3">
      <c r="A3" s="15" t="s">
        <v>64</v>
      </c>
      <c r="B3" s="15">
        <v>6.0</v>
      </c>
      <c r="C3" s="15">
        <v>9.0</v>
      </c>
      <c r="D3" s="15">
        <v>0.461538461538462</v>
      </c>
      <c r="E3" s="15">
        <v>98.0</v>
      </c>
      <c r="F3" s="15">
        <v>21.0</v>
      </c>
      <c r="G3" s="15">
        <v>2012.0</v>
      </c>
    </row>
    <row r="4">
      <c r="A4" s="15" t="s">
        <v>65</v>
      </c>
      <c r="B4" s="15">
        <v>3.0</v>
      </c>
      <c r="C4" s="15">
        <v>4.0</v>
      </c>
      <c r="D4" s="15">
        <v>0.428571428571429</v>
      </c>
      <c r="E4" s="15">
        <v>24.0</v>
      </c>
      <c r="F4" s="15">
        <v>14.0</v>
      </c>
      <c r="G4" s="15">
        <v>2018.0</v>
      </c>
    </row>
    <row r="5">
      <c r="A5" s="15" t="s">
        <v>67</v>
      </c>
      <c r="B5" s="15">
        <v>3.0</v>
      </c>
      <c r="C5" s="15">
        <v>3.0</v>
      </c>
      <c r="D5" s="15">
        <v>0.5</v>
      </c>
      <c r="E5" s="15">
        <v>13.0</v>
      </c>
      <c r="F5" s="15">
        <v>7.0</v>
      </c>
      <c r="G5" s="15">
        <v>2019.0</v>
      </c>
    </row>
    <row r="6">
      <c r="A6" s="15" t="s">
        <v>68</v>
      </c>
      <c r="B6" s="15">
        <v>3.0</v>
      </c>
      <c r="C6" s="15">
        <v>3.0</v>
      </c>
      <c r="D6" s="15">
        <v>0.6</v>
      </c>
      <c r="E6" s="15">
        <v>15.0</v>
      </c>
      <c r="F6" s="15">
        <v>7.0</v>
      </c>
      <c r="G6" s="15">
        <v>2020.0</v>
      </c>
    </row>
    <row r="7">
      <c r="A7" s="15" t="s">
        <v>66</v>
      </c>
      <c r="B7" s="15">
        <v>1.0</v>
      </c>
      <c r="C7" s="15">
        <v>1.0</v>
      </c>
      <c r="D7" s="15">
        <v>0.0769230769230769</v>
      </c>
      <c r="E7" s="15">
        <v>1.0</v>
      </c>
      <c r="F7" s="15">
        <v>7.0</v>
      </c>
      <c r="G7" s="15">
        <v>2012.0</v>
      </c>
    </row>
    <row r="8">
      <c r="A8" s="15" t="s">
        <v>69</v>
      </c>
      <c r="B8" s="15">
        <v>4.0</v>
      </c>
      <c r="C8" s="15">
        <v>6.0</v>
      </c>
      <c r="D8" s="15">
        <v>1.0</v>
      </c>
      <c r="E8" s="15">
        <v>72.0</v>
      </c>
      <c r="F8" s="15">
        <v>6.0</v>
      </c>
      <c r="G8" s="15">
        <v>2021.0</v>
      </c>
    </row>
    <row r="9">
      <c r="A9" s="15" t="s">
        <v>70</v>
      </c>
      <c r="B9" s="15">
        <v>2.0</v>
      </c>
      <c r="C9" s="15">
        <v>5.0</v>
      </c>
      <c r="D9" s="15">
        <v>0.2</v>
      </c>
      <c r="E9" s="15">
        <v>67.0</v>
      </c>
      <c r="F9" s="15">
        <v>5.0</v>
      </c>
      <c r="G9" s="15">
        <v>2015.0</v>
      </c>
    </row>
    <row r="10">
      <c r="A10" s="15" t="s">
        <v>71</v>
      </c>
      <c r="B10" s="15">
        <v>1.0</v>
      </c>
      <c r="C10" s="15">
        <v>3.0</v>
      </c>
      <c r="D10" s="15">
        <v>0.125</v>
      </c>
      <c r="E10" s="15">
        <v>9.0</v>
      </c>
      <c r="F10" s="15">
        <v>5.0</v>
      </c>
      <c r="G10" s="15">
        <v>2017.0</v>
      </c>
    </row>
    <row r="11">
      <c r="A11" s="15" t="s">
        <v>73</v>
      </c>
      <c r="B11" s="15">
        <v>3.0</v>
      </c>
      <c r="C11" s="15">
        <v>4.0</v>
      </c>
      <c r="D11" s="15">
        <v>0.375</v>
      </c>
      <c r="E11" s="15">
        <v>38.0</v>
      </c>
      <c r="F11" s="15">
        <v>4.0</v>
      </c>
      <c r="G11" s="15">
        <v>2017.0</v>
      </c>
    </row>
    <row r="12">
      <c r="A12" s="15" t="s">
        <v>72</v>
      </c>
      <c r="B12" s="15">
        <v>2.0</v>
      </c>
      <c r="C12" s="15">
        <v>2.0</v>
      </c>
      <c r="D12" s="15">
        <v>0.5</v>
      </c>
      <c r="E12" s="15">
        <v>8.0</v>
      </c>
      <c r="F12" s="15">
        <v>4.0</v>
      </c>
      <c r="G12" s="15">
        <v>2021.0</v>
      </c>
    </row>
    <row r="13">
      <c r="A13" s="15" t="s">
        <v>75</v>
      </c>
      <c r="B13" s="15">
        <v>3.0</v>
      </c>
      <c r="C13" s="15">
        <v>3.0</v>
      </c>
      <c r="D13" s="15">
        <v>0.5</v>
      </c>
      <c r="E13" s="15">
        <v>22.0</v>
      </c>
      <c r="F13" s="15">
        <v>3.0</v>
      </c>
      <c r="G13" s="15">
        <v>2019.0</v>
      </c>
    </row>
    <row r="14">
      <c r="A14" s="15" t="s">
        <v>80</v>
      </c>
      <c r="B14" s="15">
        <v>3.0</v>
      </c>
      <c r="C14" s="15">
        <v>3.0</v>
      </c>
      <c r="D14" s="15">
        <v>0.6</v>
      </c>
      <c r="E14" s="15">
        <v>75.0</v>
      </c>
      <c r="F14" s="15">
        <v>3.0</v>
      </c>
      <c r="G14" s="15">
        <v>2020.0</v>
      </c>
    </row>
    <row r="15">
      <c r="A15" s="15" t="s">
        <v>74</v>
      </c>
      <c r="B15" s="15">
        <v>2.0</v>
      </c>
      <c r="C15" s="15">
        <v>3.0</v>
      </c>
      <c r="D15" s="15">
        <v>0.666666666666667</v>
      </c>
      <c r="E15" s="15">
        <v>17.0</v>
      </c>
      <c r="F15" s="15">
        <v>3.0</v>
      </c>
      <c r="G15" s="15">
        <v>2022.0</v>
      </c>
    </row>
    <row r="16">
      <c r="A16" s="15" t="s">
        <v>76</v>
      </c>
      <c r="B16" s="15">
        <v>2.0</v>
      </c>
      <c r="C16" s="15">
        <v>3.0</v>
      </c>
      <c r="D16" s="15">
        <v>0.4</v>
      </c>
      <c r="E16" s="15">
        <v>126.0</v>
      </c>
      <c r="F16" s="15">
        <v>3.0</v>
      </c>
      <c r="G16" s="15">
        <v>2020.0</v>
      </c>
    </row>
    <row r="17">
      <c r="A17" s="15" t="s">
        <v>77</v>
      </c>
      <c r="B17" s="15">
        <v>2.0</v>
      </c>
      <c r="C17" s="15">
        <v>3.0</v>
      </c>
      <c r="D17" s="15">
        <v>0.666666666666667</v>
      </c>
      <c r="E17" s="15">
        <v>11.0</v>
      </c>
      <c r="F17" s="15">
        <v>3.0</v>
      </c>
      <c r="G17" s="15">
        <v>2022.0</v>
      </c>
    </row>
    <row r="18">
      <c r="A18" s="15" t="s">
        <v>78</v>
      </c>
      <c r="B18" s="15">
        <v>2.0</v>
      </c>
      <c r="C18" s="15">
        <v>3.0</v>
      </c>
      <c r="D18" s="15">
        <v>0.285714285714286</v>
      </c>
      <c r="E18" s="15">
        <v>16.0</v>
      </c>
      <c r="F18" s="15">
        <v>3.0</v>
      </c>
      <c r="G18" s="15">
        <v>2018.0</v>
      </c>
    </row>
    <row r="19">
      <c r="A19" s="15" t="s">
        <v>79</v>
      </c>
      <c r="B19" s="15">
        <v>2.0</v>
      </c>
      <c r="C19" s="15">
        <v>3.0</v>
      </c>
      <c r="D19" s="15">
        <v>0.5</v>
      </c>
      <c r="E19" s="15">
        <v>102.0</v>
      </c>
      <c r="F19" s="15">
        <v>3.0</v>
      </c>
      <c r="G19" s="15">
        <v>2021.0</v>
      </c>
    </row>
    <row r="20">
      <c r="A20" s="15" t="s">
        <v>83</v>
      </c>
      <c r="B20" s="15">
        <v>2.0</v>
      </c>
      <c r="C20" s="15">
        <v>3.0</v>
      </c>
      <c r="D20" s="15">
        <v>0.5</v>
      </c>
      <c r="E20" s="15">
        <v>13.0</v>
      </c>
      <c r="F20" s="15">
        <v>3.0</v>
      </c>
      <c r="G20" s="15">
        <v>2021.0</v>
      </c>
    </row>
    <row r="21" ht="15.75" customHeight="1">
      <c r="A21" s="15" t="s">
        <v>84</v>
      </c>
      <c r="B21" s="15">
        <v>2.0</v>
      </c>
      <c r="C21" s="15">
        <v>3.0</v>
      </c>
      <c r="D21" s="15">
        <v>0.666666666666667</v>
      </c>
      <c r="E21" s="15">
        <v>58.0</v>
      </c>
      <c r="F21" s="15">
        <v>3.0</v>
      </c>
      <c r="G21" s="15">
        <v>2022.0</v>
      </c>
    </row>
    <row r="22" ht="15.75" customHeight="1">
      <c r="A22" s="15" t="s">
        <v>88</v>
      </c>
      <c r="B22" s="15">
        <v>2.0</v>
      </c>
      <c r="C22" s="15">
        <v>3.0</v>
      </c>
      <c r="D22" s="15">
        <v>0.666666666666667</v>
      </c>
      <c r="E22" s="15">
        <v>12.0</v>
      </c>
      <c r="F22" s="15">
        <v>3.0</v>
      </c>
      <c r="G22" s="15">
        <v>2022.0</v>
      </c>
    </row>
    <row r="23" ht="15.75" customHeight="1">
      <c r="A23" s="15" t="s">
        <v>81</v>
      </c>
      <c r="B23" s="15">
        <v>1.0</v>
      </c>
      <c r="C23" s="15">
        <v>1.0</v>
      </c>
      <c r="D23" s="15">
        <v>1.0</v>
      </c>
      <c r="E23" s="15">
        <v>3.0</v>
      </c>
      <c r="F23" s="15">
        <v>3.0</v>
      </c>
      <c r="G23" s="15">
        <v>2024.0</v>
      </c>
    </row>
    <row r="24" ht="15.75" customHeight="1">
      <c r="A24" s="15" t="s">
        <v>85</v>
      </c>
      <c r="B24" s="15">
        <v>1.0</v>
      </c>
      <c r="C24" s="15">
        <v>2.0</v>
      </c>
      <c r="D24" s="15">
        <v>0.5</v>
      </c>
      <c r="E24" s="15">
        <v>5.0</v>
      </c>
      <c r="F24" s="15">
        <v>3.0</v>
      </c>
      <c r="G24" s="15">
        <v>2023.0</v>
      </c>
    </row>
    <row r="25" ht="15.75" customHeight="1">
      <c r="A25" s="15" t="s">
        <v>86</v>
      </c>
      <c r="B25" s="15">
        <v>1.0</v>
      </c>
      <c r="C25" s="15">
        <v>1.0</v>
      </c>
      <c r="D25" s="15">
        <v>0.25</v>
      </c>
      <c r="E25" s="15">
        <v>3.0</v>
      </c>
      <c r="F25" s="15">
        <v>3.0</v>
      </c>
      <c r="G25" s="15">
        <v>2021.0</v>
      </c>
    </row>
    <row r="26" ht="15.75" customHeight="1">
      <c r="A26" s="15" t="s">
        <v>87</v>
      </c>
      <c r="B26" s="15">
        <v>1.0</v>
      </c>
      <c r="C26" s="15">
        <v>2.0</v>
      </c>
      <c r="D26" s="15">
        <v>0.166666666666667</v>
      </c>
      <c r="E26" s="15">
        <v>4.0</v>
      </c>
      <c r="F26" s="15">
        <v>3.0</v>
      </c>
      <c r="G26" s="15">
        <v>2019.0</v>
      </c>
    </row>
    <row r="27" ht="15.75" customHeight="1">
      <c r="A27" s="15" t="s">
        <v>89</v>
      </c>
      <c r="B27" s="15">
        <v>2.0</v>
      </c>
      <c r="C27" s="15">
        <v>2.0</v>
      </c>
      <c r="D27" s="15">
        <v>0.166666666666667</v>
      </c>
      <c r="E27" s="15">
        <v>4.0</v>
      </c>
      <c r="F27" s="15">
        <v>2.0</v>
      </c>
      <c r="G27" s="15">
        <v>2013.0</v>
      </c>
    </row>
    <row r="28" ht="15.75" customHeight="1">
      <c r="A28" s="15" t="s">
        <v>90</v>
      </c>
      <c r="B28" s="15">
        <v>2.0</v>
      </c>
      <c r="C28" s="15">
        <v>2.0</v>
      </c>
      <c r="D28" s="15">
        <v>0.333333333333333</v>
      </c>
      <c r="E28" s="15">
        <v>24.0</v>
      </c>
      <c r="F28" s="15">
        <v>2.0</v>
      </c>
      <c r="G28" s="15">
        <v>2019.0</v>
      </c>
    </row>
    <row r="29" ht="15.75" customHeight="1">
      <c r="A29" s="15" t="s">
        <v>95</v>
      </c>
      <c r="B29" s="15">
        <v>2.0</v>
      </c>
      <c r="C29" s="15">
        <v>2.0</v>
      </c>
      <c r="D29" s="15">
        <v>0.222222222222222</v>
      </c>
      <c r="E29" s="15">
        <v>10.0</v>
      </c>
      <c r="F29" s="15">
        <v>2.0</v>
      </c>
      <c r="G29" s="15">
        <v>2016.0</v>
      </c>
    </row>
    <row r="30" ht="15.75" customHeight="1">
      <c r="A30" s="15" t="s">
        <v>96</v>
      </c>
      <c r="B30" s="15">
        <v>2.0</v>
      </c>
      <c r="C30" s="15">
        <v>2.0</v>
      </c>
      <c r="D30" s="15">
        <v>0.166666666666667</v>
      </c>
      <c r="E30" s="15">
        <v>16.0</v>
      </c>
      <c r="F30" s="15">
        <v>2.0</v>
      </c>
      <c r="G30" s="15">
        <v>2013.0</v>
      </c>
    </row>
    <row r="31" ht="15.75" customHeight="1">
      <c r="A31" s="15" t="s">
        <v>103</v>
      </c>
      <c r="B31" s="15">
        <v>2.0</v>
      </c>
      <c r="C31" s="15">
        <v>2.0</v>
      </c>
      <c r="D31" s="15">
        <v>0.181818181818182</v>
      </c>
      <c r="E31" s="15">
        <v>147.0</v>
      </c>
      <c r="F31" s="15">
        <v>2.0</v>
      </c>
      <c r="G31" s="15">
        <v>2014.0</v>
      </c>
    </row>
    <row r="32" ht="15.75" customHeight="1">
      <c r="A32" s="15" t="s">
        <v>107</v>
      </c>
      <c r="B32" s="15">
        <v>2.0</v>
      </c>
      <c r="C32" s="15">
        <v>2.0</v>
      </c>
      <c r="D32" s="15">
        <v>0.285714285714286</v>
      </c>
      <c r="E32" s="15">
        <v>22.0</v>
      </c>
      <c r="F32" s="15">
        <v>2.0</v>
      </c>
      <c r="G32" s="15">
        <v>2018.0</v>
      </c>
    </row>
    <row r="33" ht="15.75" customHeight="1">
      <c r="A33" s="15" t="s">
        <v>108</v>
      </c>
      <c r="B33" s="15">
        <v>2.0</v>
      </c>
      <c r="C33" s="15">
        <v>2.0</v>
      </c>
      <c r="D33" s="15">
        <v>0.153846153846154</v>
      </c>
      <c r="E33" s="15">
        <v>11.0</v>
      </c>
      <c r="F33" s="15">
        <v>2.0</v>
      </c>
      <c r="G33" s="15">
        <v>2012.0</v>
      </c>
    </row>
    <row r="34" ht="15.75" customHeight="1">
      <c r="A34" s="15" t="s">
        <v>111</v>
      </c>
      <c r="B34" s="15">
        <v>2.0</v>
      </c>
      <c r="C34" s="15">
        <v>2.0</v>
      </c>
      <c r="D34" s="15">
        <v>0.2</v>
      </c>
      <c r="E34" s="15">
        <v>8.0</v>
      </c>
      <c r="F34" s="15">
        <v>2.0</v>
      </c>
      <c r="G34" s="15">
        <v>2015.0</v>
      </c>
    </row>
    <row r="35" ht="15.75" customHeight="1">
      <c r="A35" s="15" t="s">
        <v>115</v>
      </c>
      <c r="B35" s="15">
        <v>2.0</v>
      </c>
      <c r="C35" s="15">
        <v>2.0</v>
      </c>
      <c r="D35" s="15">
        <v>0.222222222222222</v>
      </c>
      <c r="E35" s="15">
        <v>29.0</v>
      </c>
      <c r="F35" s="15">
        <v>2.0</v>
      </c>
      <c r="G35" s="15">
        <v>2016.0</v>
      </c>
    </row>
    <row r="36" ht="15.75" customHeight="1">
      <c r="A36" s="15" t="s">
        <v>119</v>
      </c>
      <c r="B36" s="15">
        <v>2.0</v>
      </c>
      <c r="C36" s="15">
        <v>2.0</v>
      </c>
      <c r="D36" s="15">
        <v>1.0</v>
      </c>
      <c r="E36" s="15">
        <v>8.0</v>
      </c>
      <c r="F36" s="15">
        <v>2.0</v>
      </c>
      <c r="G36" s="15">
        <v>2023.0</v>
      </c>
    </row>
    <row r="37" ht="15.75" customHeight="1">
      <c r="A37" s="15" t="s">
        <v>120</v>
      </c>
      <c r="B37" s="15">
        <v>2.0</v>
      </c>
      <c r="C37" s="15">
        <v>2.0</v>
      </c>
      <c r="D37" s="15">
        <v>0.5</v>
      </c>
      <c r="E37" s="15">
        <v>15.0</v>
      </c>
      <c r="F37" s="15">
        <v>2.0</v>
      </c>
      <c r="G37" s="15">
        <v>2021.0</v>
      </c>
    </row>
    <row r="38" ht="15.75" customHeight="1">
      <c r="A38" s="15" t="s">
        <v>121</v>
      </c>
      <c r="B38" s="15">
        <v>2.0</v>
      </c>
      <c r="C38" s="15">
        <v>2.0</v>
      </c>
      <c r="D38" s="15">
        <v>0.2</v>
      </c>
      <c r="E38" s="15">
        <v>19.0</v>
      </c>
      <c r="F38" s="15">
        <v>2.0</v>
      </c>
      <c r="G38" s="15">
        <v>2015.0</v>
      </c>
    </row>
    <row r="39" ht="15.75" customHeight="1">
      <c r="A39" s="15" t="s">
        <v>123</v>
      </c>
      <c r="B39" s="15">
        <v>2.0</v>
      </c>
      <c r="C39" s="15">
        <v>2.0</v>
      </c>
      <c r="D39" s="15">
        <v>0.4</v>
      </c>
      <c r="E39" s="15">
        <v>31.0</v>
      </c>
      <c r="F39" s="15">
        <v>2.0</v>
      </c>
      <c r="G39" s="15">
        <v>2020.0</v>
      </c>
    </row>
    <row r="40" ht="15.75" customHeight="1">
      <c r="A40" s="15" t="s">
        <v>91</v>
      </c>
      <c r="B40" s="15">
        <v>1.0</v>
      </c>
      <c r="C40" s="15">
        <v>1.0</v>
      </c>
      <c r="D40" s="15">
        <v>0.333333333333333</v>
      </c>
      <c r="E40" s="15">
        <v>2.0</v>
      </c>
      <c r="F40" s="15">
        <v>2.0</v>
      </c>
      <c r="G40" s="15">
        <v>2022.0</v>
      </c>
    </row>
    <row r="41" ht="15.75" customHeight="1">
      <c r="A41" s="15" t="s">
        <v>92</v>
      </c>
      <c r="B41" s="15">
        <v>1.0</v>
      </c>
      <c r="C41" s="15">
        <v>1.0</v>
      </c>
      <c r="D41" s="15">
        <v>0.166666666666667</v>
      </c>
      <c r="E41" s="15">
        <v>3.0</v>
      </c>
      <c r="F41" s="15">
        <v>2.0</v>
      </c>
      <c r="G41" s="15">
        <v>2019.0</v>
      </c>
    </row>
    <row r="42" ht="15.75" customHeight="1">
      <c r="A42" s="15" t="s">
        <v>93</v>
      </c>
      <c r="B42" s="15">
        <v>1.0</v>
      </c>
      <c r="C42" s="15">
        <v>2.0</v>
      </c>
      <c r="D42" s="15">
        <v>0.2</v>
      </c>
      <c r="E42" s="15">
        <v>65.0</v>
      </c>
      <c r="F42" s="15">
        <v>2.0</v>
      </c>
      <c r="G42" s="15">
        <v>2020.0</v>
      </c>
    </row>
    <row r="43" ht="15.75" customHeight="1">
      <c r="A43" s="15" t="s">
        <v>97</v>
      </c>
      <c r="B43" s="15">
        <v>1.0</v>
      </c>
      <c r="C43" s="15">
        <v>1.0</v>
      </c>
      <c r="D43" s="15">
        <v>0.5</v>
      </c>
      <c r="E43" s="15">
        <v>3.0</v>
      </c>
      <c r="F43" s="15">
        <v>2.0</v>
      </c>
      <c r="G43" s="15">
        <v>2023.0</v>
      </c>
    </row>
    <row r="44" ht="15.75" customHeight="1">
      <c r="A44" s="15" t="s">
        <v>99</v>
      </c>
      <c r="B44" s="15">
        <v>1.0</v>
      </c>
      <c r="C44" s="15">
        <v>1.0</v>
      </c>
      <c r="D44" s="15">
        <v>1.0</v>
      </c>
      <c r="E44" s="15">
        <v>2.0</v>
      </c>
      <c r="F44" s="15">
        <v>2.0</v>
      </c>
      <c r="G44" s="15">
        <v>2024.0</v>
      </c>
    </row>
    <row r="45" ht="15.75" customHeight="1">
      <c r="A45" s="15" t="s">
        <v>100</v>
      </c>
      <c r="B45" s="15">
        <v>1.0</v>
      </c>
      <c r="C45" s="15">
        <v>2.0</v>
      </c>
      <c r="D45" s="15">
        <v>0.333333333333333</v>
      </c>
      <c r="E45" s="15">
        <v>4.0</v>
      </c>
      <c r="F45" s="15">
        <v>2.0</v>
      </c>
      <c r="G45" s="15">
        <v>2022.0</v>
      </c>
    </row>
    <row r="46" ht="15.75" customHeight="1">
      <c r="A46" s="15" t="s">
        <v>101</v>
      </c>
      <c r="B46" s="15">
        <v>1.0</v>
      </c>
      <c r="C46" s="15">
        <v>2.0</v>
      </c>
      <c r="D46" s="15">
        <v>0.0666666666666667</v>
      </c>
      <c r="E46" s="15">
        <v>7.0</v>
      </c>
      <c r="F46" s="15">
        <v>2.0</v>
      </c>
      <c r="G46" s="15">
        <v>2010.0</v>
      </c>
    </row>
    <row r="47" ht="15.75" customHeight="1">
      <c r="A47" s="15" t="s">
        <v>102</v>
      </c>
      <c r="B47" s="15">
        <v>1.0</v>
      </c>
      <c r="C47" s="15">
        <v>1.0</v>
      </c>
      <c r="D47" s="15">
        <v>0.333333333333333</v>
      </c>
      <c r="E47" s="15">
        <v>2.0</v>
      </c>
      <c r="F47" s="15">
        <v>2.0</v>
      </c>
      <c r="G47" s="15">
        <v>2022.0</v>
      </c>
    </row>
    <row r="48" ht="15.75" customHeight="1">
      <c r="A48" s="15" t="s">
        <v>104</v>
      </c>
      <c r="B48" s="15">
        <v>1.0</v>
      </c>
      <c r="C48" s="15">
        <v>2.0</v>
      </c>
      <c r="D48" s="15">
        <v>0.333333333333333</v>
      </c>
      <c r="E48" s="15">
        <v>6.0</v>
      </c>
      <c r="F48" s="15">
        <v>2.0</v>
      </c>
      <c r="G48" s="15">
        <v>2022.0</v>
      </c>
    </row>
    <row r="49" ht="15.75" customHeight="1">
      <c r="A49" s="15" t="s">
        <v>105</v>
      </c>
      <c r="B49" s="15">
        <v>1.0</v>
      </c>
      <c r="C49" s="15">
        <v>1.0</v>
      </c>
      <c r="D49" s="15">
        <v>0.5</v>
      </c>
      <c r="E49" s="15">
        <v>1.0</v>
      </c>
      <c r="F49" s="15">
        <v>2.0</v>
      </c>
      <c r="G49" s="15">
        <v>2023.0</v>
      </c>
    </row>
    <row r="50" ht="15.75" customHeight="1">
      <c r="A50" s="15" t="s">
        <v>106</v>
      </c>
      <c r="B50" s="15">
        <v>1.0</v>
      </c>
      <c r="C50" s="15">
        <v>1.0</v>
      </c>
      <c r="D50" s="15">
        <v>0.166666666666667</v>
      </c>
      <c r="E50" s="15">
        <v>2.0</v>
      </c>
      <c r="F50" s="15">
        <v>2.0</v>
      </c>
      <c r="G50" s="15">
        <v>2019.0</v>
      </c>
    </row>
    <row r="51" ht="15.75" customHeight="1">
      <c r="A51" s="15" t="s">
        <v>109</v>
      </c>
      <c r="B51" s="15">
        <v>1.0</v>
      </c>
      <c r="C51" s="15">
        <v>1.0</v>
      </c>
      <c r="D51" s="15">
        <v>0.0909090909090909</v>
      </c>
      <c r="E51" s="15">
        <v>3.0</v>
      </c>
      <c r="F51" s="15">
        <v>2.0</v>
      </c>
      <c r="G51" s="15">
        <v>2014.0</v>
      </c>
    </row>
    <row r="52" ht="15.75" customHeight="1">
      <c r="A52" s="15" t="s">
        <v>112</v>
      </c>
      <c r="B52" s="15">
        <v>1.0</v>
      </c>
      <c r="C52" s="15">
        <v>2.0</v>
      </c>
      <c r="D52" s="15">
        <v>0.142857142857143</v>
      </c>
      <c r="E52" s="15">
        <v>7.0</v>
      </c>
      <c r="F52" s="15">
        <v>2.0</v>
      </c>
      <c r="G52" s="15">
        <v>2018.0</v>
      </c>
    </row>
    <row r="53" ht="15.75" customHeight="1">
      <c r="A53" s="15" t="s">
        <v>113</v>
      </c>
      <c r="B53" s="15">
        <v>1.0</v>
      </c>
      <c r="C53" s="15">
        <v>2.0</v>
      </c>
      <c r="D53" s="15">
        <v>0.1</v>
      </c>
      <c r="E53" s="15">
        <v>4.0</v>
      </c>
      <c r="F53" s="15">
        <v>2.0</v>
      </c>
      <c r="G53" s="15">
        <v>2015.0</v>
      </c>
    </row>
    <row r="54" ht="15.75" customHeight="1">
      <c r="A54" s="15" t="s">
        <v>114</v>
      </c>
      <c r="B54" s="15">
        <v>1.0</v>
      </c>
      <c r="C54" s="15">
        <v>2.0</v>
      </c>
      <c r="D54" s="15">
        <v>0.0769230769230769</v>
      </c>
      <c r="E54" s="15">
        <v>4.0</v>
      </c>
      <c r="F54" s="15">
        <v>2.0</v>
      </c>
      <c r="G54" s="15">
        <v>2012.0</v>
      </c>
    </row>
    <row r="55" ht="15.75" customHeight="1">
      <c r="A55" s="15" t="s">
        <v>116</v>
      </c>
      <c r="B55" s="15">
        <v>1.0</v>
      </c>
      <c r="C55" s="15">
        <v>1.0</v>
      </c>
      <c r="D55" s="15">
        <v>0.142857142857143</v>
      </c>
      <c r="E55" s="15">
        <v>2.0</v>
      </c>
      <c r="F55" s="15">
        <v>2.0</v>
      </c>
      <c r="G55" s="15">
        <v>2018.0</v>
      </c>
    </row>
    <row r="56" ht="15.75" customHeight="1">
      <c r="A56" s="15" t="s">
        <v>117</v>
      </c>
      <c r="B56" s="15">
        <v>1.0</v>
      </c>
      <c r="C56" s="15">
        <v>2.0</v>
      </c>
      <c r="D56" s="15">
        <v>0.1</v>
      </c>
      <c r="E56" s="15">
        <v>8.0</v>
      </c>
      <c r="F56" s="15">
        <v>2.0</v>
      </c>
      <c r="G56" s="15">
        <v>2015.0</v>
      </c>
    </row>
    <row r="57" ht="15.75" customHeight="1">
      <c r="A57" s="15" t="s">
        <v>118</v>
      </c>
      <c r="B57" s="15">
        <v>1.0</v>
      </c>
      <c r="C57" s="15">
        <v>2.0</v>
      </c>
      <c r="D57" s="15">
        <v>0.333333333333333</v>
      </c>
      <c r="E57" s="15">
        <v>10.0</v>
      </c>
      <c r="F57" s="15">
        <v>2.0</v>
      </c>
      <c r="G57" s="15">
        <v>2022.0</v>
      </c>
    </row>
    <row r="58" ht="15.75" customHeight="1">
      <c r="A58" s="15" t="s">
        <v>122</v>
      </c>
      <c r="B58" s="15">
        <v>1.0</v>
      </c>
      <c r="C58" s="15">
        <v>2.0</v>
      </c>
      <c r="D58" s="15">
        <v>0.2</v>
      </c>
      <c r="E58" s="15">
        <v>5.0</v>
      </c>
      <c r="F58" s="15">
        <v>2.0</v>
      </c>
      <c r="G58" s="15">
        <v>2020.0</v>
      </c>
    </row>
    <row r="59" ht="15.75" customHeight="1">
      <c r="A59" s="15" t="s">
        <v>124</v>
      </c>
      <c r="B59" s="15">
        <v>1.0</v>
      </c>
      <c r="C59" s="15">
        <v>2.0</v>
      </c>
      <c r="D59" s="15">
        <v>0.333333333333333</v>
      </c>
      <c r="E59" s="15">
        <v>7.0</v>
      </c>
      <c r="F59" s="15">
        <v>2.0</v>
      </c>
      <c r="G59" s="15">
        <v>2022.0</v>
      </c>
    </row>
    <row r="60" ht="15.75" customHeight="1">
      <c r="A60" s="15" t="s">
        <v>125</v>
      </c>
      <c r="B60" s="15">
        <v>1.0</v>
      </c>
      <c r="C60" s="15">
        <v>1.0</v>
      </c>
      <c r="D60" s="15">
        <v>0.25</v>
      </c>
      <c r="E60" s="15">
        <v>3.0</v>
      </c>
      <c r="F60" s="15">
        <v>2.0</v>
      </c>
      <c r="G60" s="15">
        <v>2021.0</v>
      </c>
    </row>
    <row r="61" ht="15.75" customHeight="1">
      <c r="A61" s="15" t="s">
        <v>126</v>
      </c>
      <c r="B61" s="15">
        <v>1.0</v>
      </c>
      <c r="C61" s="15">
        <v>1.0</v>
      </c>
      <c r="D61" s="15">
        <v>0.142857142857143</v>
      </c>
      <c r="E61" s="15">
        <v>8.0</v>
      </c>
      <c r="F61" s="15">
        <v>1.0</v>
      </c>
      <c r="G61" s="15">
        <v>2018.0</v>
      </c>
    </row>
    <row r="62" ht="15.75" customHeight="1">
      <c r="A62" s="15" t="s">
        <v>127</v>
      </c>
      <c r="B62" s="15">
        <v>1.0</v>
      </c>
      <c r="C62" s="15">
        <v>1.0</v>
      </c>
      <c r="D62" s="15">
        <v>0.142857142857143</v>
      </c>
      <c r="E62" s="15">
        <v>2.0</v>
      </c>
      <c r="F62" s="15">
        <v>1.0</v>
      </c>
      <c r="G62" s="15">
        <v>2018.0</v>
      </c>
    </row>
    <row r="63" ht="15.75" customHeight="1">
      <c r="A63" s="15" t="s">
        <v>128</v>
      </c>
      <c r="B63" s="15">
        <v>1.0</v>
      </c>
      <c r="C63" s="15">
        <v>1.0</v>
      </c>
      <c r="D63" s="15">
        <v>0.0588235294117647</v>
      </c>
      <c r="E63" s="15">
        <v>11.0</v>
      </c>
      <c r="F63" s="15">
        <v>1.0</v>
      </c>
      <c r="G63" s="15">
        <v>2008.0</v>
      </c>
    </row>
    <row r="64" ht="15.75" customHeight="1">
      <c r="A64" s="15" t="s">
        <v>129</v>
      </c>
      <c r="B64" s="15">
        <v>1.0</v>
      </c>
      <c r="C64" s="15">
        <v>1.0</v>
      </c>
      <c r="D64" s="15">
        <v>0.1</v>
      </c>
      <c r="E64" s="15">
        <v>6.0</v>
      </c>
      <c r="F64" s="15">
        <v>1.0</v>
      </c>
      <c r="G64" s="15">
        <v>2015.0</v>
      </c>
    </row>
    <row r="65" ht="15.75" customHeight="1">
      <c r="A65" s="15" t="s">
        <v>130</v>
      </c>
      <c r="B65" s="15">
        <v>1.0</v>
      </c>
      <c r="C65" s="15">
        <v>1.0</v>
      </c>
      <c r="D65" s="15">
        <v>0.333333333333333</v>
      </c>
      <c r="E65" s="15">
        <v>1.0</v>
      </c>
      <c r="F65" s="15">
        <v>1.0</v>
      </c>
      <c r="G65" s="15">
        <v>2022.0</v>
      </c>
    </row>
    <row r="66" ht="15.75" customHeight="1">
      <c r="A66" s="15" t="s">
        <v>131</v>
      </c>
      <c r="B66" s="15">
        <v>1.0</v>
      </c>
      <c r="C66" s="15">
        <v>1.0</v>
      </c>
      <c r="D66" s="15">
        <v>0.2</v>
      </c>
      <c r="E66" s="15">
        <v>5.0</v>
      </c>
      <c r="F66" s="15">
        <v>1.0</v>
      </c>
      <c r="G66" s="15">
        <v>2020.0</v>
      </c>
    </row>
    <row r="67" ht="15.75" customHeight="1">
      <c r="A67" s="15" t="s">
        <v>133</v>
      </c>
      <c r="B67" s="15">
        <v>1.0</v>
      </c>
      <c r="C67" s="15">
        <v>1.0</v>
      </c>
      <c r="D67" s="15">
        <v>0.5</v>
      </c>
      <c r="E67" s="15">
        <v>8.0</v>
      </c>
      <c r="F67" s="15">
        <v>1.0</v>
      </c>
      <c r="G67" s="15">
        <v>2023.0</v>
      </c>
    </row>
    <row r="68" ht="15.75" customHeight="1">
      <c r="A68" s="15" t="s">
        <v>135</v>
      </c>
      <c r="B68" s="15">
        <v>1.0</v>
      </c>
      <c r="C68" s="15">
        <v>1.0</v>
      </c>
      <c r="D68" s="15">
        <v>0.25</v>
      </c>
      <c r="E68" s="15">
        <v>9.0</v>
      </c>
      <c r="F68" s="15">
        <v>1.0</v>
      </c>
      <c r="G68" s="15">
        <v>2021.0</v>
      </c>
    </row>
    <row r="69" ht="15.75" customHeight="1">
      <c r="A69" s="15" t="s">
        <v>136</v>
      </c>
      <c r="B69" s="15">
        <v>1.0</v>
      </c>
      <c r="C69" s="15">
        <v>1.0</v>
      </c>
      <c r="D69" s="15">
        <v>0.25</v>
      </c>
      <c r="E69" s="15">
        <v>1.0</v>
      </c>
      <c r="F69" s="15">
        <v>1.0</v>
      </c>
      <c r="G69" s="15">
        <v>2021.0</v>
      </c>
    </row>
    <row r="70" ht="15.75" customHeight="1">
      <c r="A70" s="15" t="s">
        <v>139</v>
      </c>
      <c r="B70" s="15">
        <v>1.0</v>
      </c>
      <c r="C70" s="15">
        <v>1.0</v>
      </c>
      <c r="D70" s="15">
        <v>0.2</v>
      </c>
      <c r="E70" s="15">
        <v>15.0</v>
      </c>
      <c r="F70" s="15">
        <v>1.0</v>
      </c>
      <c r="G70" s="15">
        <v>2020.0</v>
      </c>
    </row>
    <row r="71" ht="15.75" customHeight="1">
      <c r="A71" s="15" t="s">
        <v>140</v>
      </c>
      <c r="B71" s="15">
        <v>1.0</v>
      </c>
      <c r="C71" s="15">
        <v>1.0</v>
      </c>
      <c r="D71" s="15">
        <v>0.2</v>
      </c>
      <c r="E71" s="15">
        <v>36.0</v>
      </c>
      <c r="F71" s="15">
        <v>1.0</v>
      </c>
      <c r="G71" s="15">
        <v>2020.0</v>
      </c>
    </row>
    <row r="72" ht="15.75" customHeight="1">
      <c r="A72" s="15" t="s">
        <v>141</v>
      </c>
      <c r="B72" s="15">
        <v>1.0</v>
      </c>
      <c r="C72" s="15">
        <v>1.0</v>
      </c>
      <c r="D72" s="15">
        <v>0.333333333333333</v>
      </c>
      <c r="E72" s="15">
        <v>4.0</v>
      </c>
      <c r="F72" s="15">
        <v>1.0</v>
      </c>
      <c r="G72" s="15">
        <v>2022.0</v>
      </c>
    </row>
    <row r="73" ht="15.75" customHeight="1">
      <c r="A73" s="15" t="s">
        <v>142</v>
      </c>
      <c r="B73" s="15">
        <v>1.0</v>
      </c>
      <c r="C73" s="15">
        <v>1.0</v>
      </c>
      <c r="D73" s="15">
        <v>1.0</v>
      </c>
      <c r="E73" s="15">
        <v>3.0</v>
      </c>
      <c r="F73" s="15">
        <v>1.0</v>
      </c>
      <c r="G73" s="15">
        <v>2024.0</v>
      </c>
    </row>
    <row r="74" ht="15.75" customHeight="1">
      <c r="A74" s="15" t="s">
        <v>143</v>
      </c>
      <c r="B74" s="15">
        <v>1.0</v>
      </c>
      <c r="C74" s="15">
        <v>1.0</v>
      </c>
      <c r="D74" s="15">
        <v>0.0769230769230769</v>
      </c>
      <c r="E74" s="15">
        <v>8.0</v>
      </c>
      <c r="F74" s="15">
        <v>1.0</v>
      </c>
      <c r="G74" s="15">
        <v>2012.0</v>
      </c>
    </row>
    <row r="75" ht="15.75" customHeight="1">
      <c r="A75" s="15" t="s">
        <v>144</v>
      </c>
      <c r="B75" s="15">
        <v>1.0</v>
      </c>
      <c r="C75" s="15">
        <v>1.0</v>
      </c>
      <c r="D75" s="15">
        <v>1.0</v>
      </c>
      <c r="E75" s="15">
        <v>1.0</v>
      </c>
      <c r="F75" s="15">
        <v>1.0</v>
      </c>
      <c r="G75" s="15">
        <v>2024.0</v>
      </c>
    </row>
    <row r="76" ht="15.75" customHeight="1">
      <c r="A76" s="15" t="s">
        <v>145</v>
      </c>
      <c r="B76" s="15">
        <v>1.0</v>
      </c>
      <c r="C76" s="15">
        <v>1.0</v>
      </c>
      <c r="D76" s="15">
        <v>0.0588235294117647</v>
      </c>
      <c r="E76" s="15">
        <v>17.0</v>
      </c>
      <c r="F76" s="15">
        <v>1.0</v>
      </c>
      <c r="G76" s="15">
        <v>2008.0</v>
      </c>
    </row>
    <row r="77" ht="15.75" customHeight="1">
      <c r="A77" s="15" t="s">
        <v>146</v>
      </c>
      <c r="B77" s="15">
        <v>1.0</v>
      </c>
      <c r="C77" s="15">
        <v>1.0</v>
      </c>
      <c r="D77" s="15">
        <v>0.0769230769230769</v>
      </c>
      <c r="E77" s="15">
        <v>1.0</v>
      </c>
      <c r="F77" s="15">
        <v>1.0</v>
      </c>
      <c r="G77" s="15">
        <v>2012.0</v>
      </c>
    </row>
    <row r="78" ht="15.75" customHeight="1">
      <c r="A78" s="15" t="s">
        <v>147</v>
      </c>
      <c r="B78" s="15">
        <v>1.0</v>
      </c>
      <c r="C78" s="15">
        <v>1.0</v>
      </c>
      <c r="D78" s="15">
        <v>0.0666666666666667</v>
      </c>
      <c r="E78" s="15">
        <v>6.0</v>
      </c>
      <c r="F78" s="15">
        <v>1.0</v>
      </c>
      <c r="G78" s="15">
        <v>2010.0</v>
      </c>
    </row>
    <row r="79" ht="15.75" customHeight="1">
      <c r="A79" s="15" t="s">
        <v>148</v>
      </c>
      <c r="B79" s="15">
        <v>1.0</v>
      </c>
      <c r="C79" s="15">
        <v>1.0</v>
      </c>
      <c r="D79" s="15">
        <v>0.2</v>
      </c>
      <c r="E79" s="15">
        <v>9.0</v>
      </c>
      <c r="F79" s="15">
        <v>1.0</v>
      </c>
      <c r="G79" s="15">
        <v>2020.0</v>
      </c>
    </row>
    <row r="80" ht="15.75" customHeight="1">
      <c r="A80" s="15" t="s">
        <v>149</v>
      </c>
      <c r="B80" s="15">
        <v>1.0</v>
      </c>
      <c r="C80" s="15">
        <v>1.0</v>
      </c>
      <c r="D80" s="15">
        <v>0.333333333333333</v>
      </c>
      <c r="E80" s="15">
        <v>6.0</v>
      </c>
      <c r="F80" s="15">
        <v>1.0</v>
      </c>
      <c r="G80" s="15">
        <v>2022.0</v>
      </c>
    </row>
    <row r="81" ht="15.75" customHeight="1">
      <c r="A81" s="15" t="s">
        <v>150</v>
      </c>
      <c r="B81" s="15">
        <v>1.0</v>
      </c>
      <c r="C81" s="15">
        <v>1.0</v>
      </c>
      <c r="D81" s="15">
        <v>0.1</v>
      </c>
      <c r="E81" s="15">
        <v>40.0</v>
      </c>
      <c r="F81" s="15">
        <v>1.0</v>
      </c>
      <c r="G81" s="15">
        <v>2015.0</v>
      </c>
    </row>
    <row r="82" ht="15.75" customHeight="1">
      <c r="A82" s="15" t="s">
        <v>151</v>
      </c>
      <c r="B82" s="15">
        <v>1.0</v>
      </c>
      <c r="C82" s="15">
        <v>1.0</v>
      </c>
      <c r="D82" s="15">
        <v>0.25</v>
      </c>
      <c r="E82" s="15">
        <v>73.0</v>
      </c>
      <c r="F82" s="15">
        <v>1.0</v>
      </c>
      <c r="G82" s="15">
        <v>2021.0</v>
      </c>
    </row>
    <row r="83" ht="15.75" customHeight="1">
      <c r="A83" s="15" t="s">
        <v>154</v>
      </c>
      <c r="B83" s="15">
        <v>1.0</v>
      </c>
      <c r="C83" s="15">
        <v>1.0</v>
      </c>
      <c r="D83" s="15">
        <v>0.333333333333333</v>
      </c>
      <c r="E83" s="15">
        <v>6.0</v>
      </c>
      <c r="F83" s="15">
        <v>1.0</v>
      </c>
      <c r="G83" s="15">
        <v>2022.0</v>
      </c>
    </row>
    <row r="84" ht="15.75" customHeight="1">
      <c r="A84" s="15" t="s">
        <v>155</v>
      </c>
      <c r="B84" s="15">
        <v>1.0</v>
      </c>
      <c r="C84" s="15">
        <v>1.0</v>
      </c>
      <c r="D84" s="15">
        <v>0.142857142857143</v>
      </c>
      <c r="E84" s="15">
        <v>2.0</v>
      </c>
      <c r="F84" s="15">
        <v>1.0</v>
      </c>
      <c r="G84" s="15">
        <v>2018.0</v>
      </c>
    </row>
    <row r="85" ht="15.75" customHeight="1">
      <c r="A85" s="15" t="s">
        <v>157</v>
      </c>
      <c r="B85" s="15">
        <v>1.0</v>
      </c>
      <c r="C85" s="15">
        <v>1.0</v>
      </c>
      <c r="D85" s="15">
        <v>0.1</v>
      </c>
      <c r="E85" s="15">
        <v>26.0</v>
      </c>
      <c r="F85" s="15">
        <v>1.0</v>
      </c>
      <c r="G85" s="15">
        <v>2015.0</v>
      </c>
    </row>
    <row r="86" ht="15.75" customHeight="1">
      <c r="A86" s="15" t="s">
        <v>158</v>
      </c>
      <c r="B86" s="15">
        <v>1.0</v>
      </c>
      <c r="C86" s="15">
        <v>1.0</v>
      </c>
      <c r="D86" s="15">
        <v>0.2</v>
      </c>
      <c r="E86" s="15">
        <v>3.0</v>
      </c>
      <c r="F86" s="15">
        <v>1.0</v>
      </c>
      <c r="G86" s="15">
        <v>2020.0</v>
      </c>
    </row>
    <row r="87" ht="15.75" customHeight="1">
      <c r="A87" s="15" t="s">
        <v>161</v>
      </c>
      <c r="B87" s="15">
        <v>1.0</v>
      </c>
      <c r="C87" s="15">
        <v>1.0</v>
      </c>
      <c r="D87" s="15">
        <v>0.125</v>
      </c>
      <c r="E87" s="15">
        <v>1.0</v>
      </c>
      <c r="F87" s="15">
        <v>1.0</v>
      </c>
      <c r="G87" s="15">
        <v>2017.0</v>
      </c>
    </row>
    <row r="88" ht="15.75" customHeight="1">
      <c r="A88" s="15" t="s">
        <v>162</v>
      </c>
      <c r="B88" s="15">
        <v>1.0</v>
      </c>
      <c r="C88" s="15">
        <v>1.0</v>
      </c>
      <c r="D88" s="15">
        <v>0.333333333333333</v>
      </c>
      <c r="E88" s="15">
        <v>2.0</v>
      </c>
      <c r="F88" s="15">
        <v>1.0</v>
      </c>
      <c r="G88" s="15">
        <v>2022.0</v>
      </c>
    </row>
    <row r="89" ht="15.75" customHeight="1">
      <c r="A89" s="15" t="s">
        <v>163</v>
      </c>
      <c r="B89" s="15">
        <v>1.0</v>
      </c>
      <c r="C89" s="15">
        <v>1.0</v>
      </c>
      <c r="D89" s="15">
        <v>0.2</v>
      </c>
      <c r="E89" s="15">
        <v>7.0</v>
      </c>
      <c r="F89" s="15">
        <v>1.0</v>
      </c>
      <c r="G89" s="15">
        <v>2020.0</v>
      </c>
    </row>
    <row r="90" ht="15.75" customHeight="1">
      <c r="A90" s="15" t="s">
        <v>165</v>
      </c>
      <c r="B90" s="15">
        <v>1.0</v>
      </c>
      <c r="C90" s="15">
        <v>1.0</v>
      </c>
      <c r="D90" s="15">
        <v>0.0625</v>
      </c>
      <c r="E90" s="15">
        <v>3.0</v>
      </c>
      <c r="F90" s="15">
        <v>1.0</v>
      </c>
      <c r="G90" s="15">
        <v>2009.0</v>
      </c>
    </row>
    <row r="91" ht="15.75" customHeight="1">
      <c r="A91" s="15" t="s">
        <v>166</v>
      </c>
      <c r="B91" s="15">
        <v>1.0</v>
      </c>
      <c r="C91" s="15">
        <v>1.0</v>
      </c>
      <c r="D91" s="15">
        <v>0.5</v>
      </c>
      <c r="E91" s="15">
        <v>5.0</v>
      </c>
      <c r="F91" s="15">
        <v>1.0</v>
      </c>
      <c r="G91" s="15">
        <v>2023.0</v>
      </c>
    </row>
    <row r="92" ht="15.75" customHeight="1">
      <c r="A92" s="15" t="s">
        <v>168</v>
      </c>
      <c r="B92" s="15">
        <v>1.0</v>
      </c>
      <c r="C92" s="15">
        <v>1.0</v>
      </c>
      <c r="D92" s="15">
        <v>0.142857142857143</v>
      </c>
      <c r="E92" s="15">
        <v>5.0</v>
      </c>
      <c r="F92" s="15">
        <v>1.0</v>
      </c>
      <c r="G92" s="15">
        <v>2018.0</v>
      </c>
    </row>
    <row r="93" ht="15.75" customHeight="1">
      <c r="A93" s="15" t="s">
        <v>170</v>
      </c>
      <c r="B93" s="15">
        <v>1.0</v>
      </c>
      <c r="C93" s="15">
        <v>1.0</v>
      </c>
      <c r="D93" s="15">
        <v>0.2</v>
      </c>
      <c r="E93" s="15">
        <v>2.0</v>
      </c>
      <c r="F93" s="15">
        <v>1.0</v>
      </c>
      <c r="G93" s="15">
        <v>2020.0</v>
      </c>
    </row>
    <row r="94" ht="15.75" customHeight="1">
      <c r="A94" s="15" t="s">
        <v>171</v>
      </c>
      <c r="B94" s="15">
        <v>1.0</v>
      </c>
      <c r="C94" s="15">
        <v>1.0</v>
      </c>
      <c r="D94" s="15">
        <v>0.166666666666667</v>
      </c>
      <c r="E94" s="15">
        <v>3.0</v>
      </c>
      <c r="F94" s="15">
        <v>1.0</v>
      </c>
      <c r="G94" s="15">
        <v>2019.0</v>
      </c>
    </row>
    <row r="95" ht="15.75" customHeight="1">
      <c r="A95" s="15" t="s">
        <v>173</v>
      </c>
      <c r="B95" s="15">
        <v>1.0</v>
      </c>
      <c r="C95" s="15">
        <v>1.0</v>
      </c>
      <c r="D95" s="15">
        <v>0.333333333333333</v>
      </c>
      <c r="E95" s="15">
        <v>1.0</v>
      </c>
      <c r="F95" s="15">
        <v>1.0</v>
      </c>
      <c r="G95" s="15">
        <v>2022.0</v>
      </c>
    </row>
    <row r="96" ht="15.75" customHeight="1">
      <c r="A96" s="15" t="s">
        <v>174</v>
      </c>
      <c r="B96" s="15">
        <v>1.0</v>
      </c>
      <c r="C96" s="15">
        <v>1.0</v>
      </c>
      <c r="D96" s="15">
        <v>0.5</v>
      </c>
      <c r="E96" s="15">
        <v>2.0</v>
      </c>
      <c r="F96" s="15">
        <v>1.0</v>
      </c>
      <c r="G96" s="15">
        <v>2023.0</v>
      </c>
    </row>
    <row r="97" ht="15.75" customHeight="1">
      <c r="A97" s="15" t="s">
        <v>176</v>
      </c>
      <c r="B97" s="15">
        <v>1.0</v>
      </c>
      <c r="C97" s="15">
        <v>1.0</v>
      </c>
      <c r="D97" s="15">
        <v>0.333333333333333</v>
      </c>
      <c r="E97" s="15">
        <v>7.0</v>
      </c>
      <c r="F97" s="15">
        <v>1.0</v>
      </c>
      <c r="G97" s="15">
        <v>2022.0</v>
      </c>
    </row>
    <row r="98" ht="15.75" customHeight="1">
      <c r="A98" s="15" t="s">
        <v>177</v>
      </c>
      <c r="B98" s="15">
        <v>1.0</v>
      </c>
      <c r="C98" s="15">
        <v>1.0</v>
      </c>
      <c r="D98" s="15">
        <v>0.25</v>
      </c>
      <c r="E98" s="15">
        <v>5.0</v>
      </c>
      <c r="F98" s="15">
        <v>1.0</v>
      </c>
      <c r="G98" s="15">
        <v>2021.0</v>
      </c>
    </row>
    <row r="99" ht="15.75" customHeight="1">
      <c r="A99" s="15" t="s">
        <v>178</v>
      </c>
      <c r="B99" s="15">
        <v>1.0</v>
      </c>
      <c r="C99" s="15">
        <v>1.0</v>
      </c>
      <c r="D99" s="15">
        <v>0.0714285714285714</v>
      </c>
      <c r="E99" s="15">
        <v>7.0</v>
      </c>
      <c r="F99" s="15">
        <v>1.0</v>
      </c>
      <c r="G99" s="15">
        <v>2011.0</v>
      </c>
    </row>
    <row r="100" ht="15.75" customHeight="1">
      <c r="A100" s="15" t="s">
        <v>179</v>
      </c>
      <c r="B100" s="15">
        <v>1.0</v>
      </c>
      <c r="C100" s="15">
        <v>1.0</v>
      </c>
      <c r="D100" s="15">
        <v>0.166666666666667</v>
      </c>
      <c r="E100" s="15">
        <v>7.0</v>
      </c>
      <c r="F100" s="15">
        <v>1.0</v>
      </c>
      <c r="G100" s="15">
        <v>2019.0</v>
      </c>
    </row>
    <row r="101" ht="15.75" customHeight="1">
      <c r="A101" s="15" t="s">
        <v>180</v>
      </c>
      <c r="B101" s="15">
        <v>1.0</v>
      </c>
      <c r="C101" s="15">
        <v>1.0</v>
      </c>
      <c r="D101" s="15">
        <v>0.25</v>
      </c>
      <c r="E101" s="15">
        <v>4.0</v>
      </c>
      <c r="F101" s="15">
        <v>1.0</v>
      </c>
      <c r="G101" s="15">
        <v>2021.0</v>
      </c>
    </row>
    <row r="102" ht="15.75" customHeight="1">
      <c r="A102" s="15" t="s">
        <v>181</v>
      </c>
      <c r="B102" s="15">
        <v>1.0</v>
      </c>
      <c r="C102" s="15">
        <v>1.0</v>
      </c>
      <c r="D102" s="15">
        <v>0.333333333333333</v>
      </c>
      <c r="E102" s="15">
        <v>11.0</v>
      </c>
      <c r="F102" s="15">
        <v>1.0</v>
      </c>
      <c r="G102" s="15">
        <v>2022.0</v>
      </c>
    </row>
    <row r="103" ht="15.75" customHeight="1">
      <c r="A103" s="15" t="s">
        <v>182</v>
      </c>
      <c r="B103" s="15">
        <v>1.0</v>
      </c>
      <c r="C103" s="15">
        <v>1.0</v>
      </c>
      <c r="D103" s="15">
        <v>0.333333333333333</v>
      </c>
      <c r="E103" s="15">
        <v>10.0</v>
      </c>
      <c r="F103" s="15">
        <v>1.0</v>
      </c>
      <c r="G103" s="15">
        <v>2022.0</v>
      </c>
    </row>
    <row r="104" ht="15.75" customHeight="1">
      <c r="A104" s="15" t="s">
        <v>183</v>
      </c>
      <c r="B104" s="15">
        <v>1.0</v>
      </c>
      <c r="C104" s="15">
        <v>1.0</v>
      </c>
      <c r="D104" s="15">
        <v>0.125</v>
      </c>
      <c r="E104" s="15">
        <v>37.0</v>
      </c>
      <c r="F104" s="15">
        <v>1.0</v>
      </c>
      <c r="G104" s="15">
        <v>2017.0</v>
      </c>
    </row>
    <row r="105" ht="15.75" customHeight="1">
      <c r="A105" s="15" t="s">
        <v>184</v>
      </c>
      <c r="B105" s="15">
        <v>1.0</v>
      </c>
      <c r="C105" s="15">
        <v>1.0</v>
      </c>
      <c r="D105" s="15">
        <v>0.1</v>
      </c>
      <c r="E105" s="15">
        <v>209.0</v>
      </c>
      <c r="F105" s="15">
        <v>1.0</v>
      </c>
      <c r="G105" s="15">
        <v>2015.0</v>
      </c>
    </row>
    <row r="106" ht="15.75" customHeight="1">
      <c r="A106" s="15" t="s">
        <v>185</v>
      </c>
      <c r="B106" s="15">
        <v>1.0</v>
      </c>
      <c r="C106" s="15">
        <v>1.0</v>
      </c>
      <c r="D106" s="15">
        <v>0.333333333333333</v>
      </c>
      <c r="E106" s="15">
        <v>13.0</v>
      </c>
      <c r="F106" s="15">
        <v>1.0</v>
      </c>
      <c r="G106" s="15">
        <v>2022.0</v>
      </c>
    </row>
    <row r="107" ht="15.75" customHeight="1">
      <c r="A107" s="15" t="s">
        <v>186</v>
      </c>
      <c r="B107" s="15">
        <v>1.0</v>
      </c>
      <c r="C107" s="15">
        <v>1.0</v>
      </c>
      <c r="D107" s="15">
        <v>0.5</v>
      </c>
      <c r="E107" s="15">
        <v>7.0</v>
      </c>
      <c r="F107" s="15">
        <v>1.0</v>
      </c>
      <c r="G107" s="15">
        <v>2023.0</v>
      </c>
    </row>
    <row r="108" ht="15.75" customHeight="1">
      <c r="A108" s="15" t="s">
        <v>190</v>
      </c>
      <c r="B108" s="15">
        <v>1.0</v>
      </c>
      <c r="C108" s="15">
        <v>1.0</v>
      </c>
      <c r="D108" s="15">
        <v>0.1</v>
      </c>
      <c r="E108" s="15">
        <v>13.0</v>
      </c>
      <c r="F108" s="15">
        <v>1.0</v>
      </c>
      <c r="G108" s="15">
        <v>2015.0</v>
      </c>
    </row>
    <row r="109" ht="15.75" customHeight="1">
      <c r="A109" s="15" t="s">
        <v>191</v>
      </c>
      <c r="B109" s="15">
        <v>1.0</v>
      </c>
      <c r="C109" s="15">
        <v>1.0</v>
      </c>
      <c r="D109" s="15">
        <v>0.0666666666666667</v>
      </c>
      <c r="E109" s="15">
        <v>4.0</v>
      </c>
      <c r="F109" s="15">
        <v>1.0</v>
      </c>
      <c r="G109" s="15">
        <v>2010.0</v>
      </c>
    </row>
    <row r="110" ht="15.75" customHeight="1">
      <c r="A110" s="15" t="s">
        <v>192</v>
      </c>
      <c r="B110" s="15">
        <v>1.0</v>
      </c>
      <c r="C110" s="15">
        <v>1.0</v>
      </c>
      <c r="D110" s="15">
        <v>1.0</v>
      </c>
      <c r="E110" s="15">
        <v>1.0</v>
      </c>
      <c r="F110" s="15">
        <v>1.0</v>
      </c>
      <c r="G110" s="15">
        <v>2024.0</v>
      </c>
    </row>
    <row r="111" ht="15.75" customHeight="1">
      <c r="A111" s="15" t="s">
        <v>193</v>
      </c>
      <c r="B111" s="15">
        <v>1.0</v>
      </c>
      <c r="C111" s="15">
        <v>1.0</v>
      </c>
      <c r="D111" s="15">
        <v>0.333333333333333</v>
      </c>
      <c r="E111" s="15">
        <v>9.0</v>
      </c>
      <c r="F111" s="15">
        <v>1.0</v>
      </c>
      <c r="G111" s="15">
        <v>2022.0</v>
      </c>
    </row>
    <row r="112" ht="15.75" customHeight="1">
      <c r="A112" s="15" t="s">
        <v>196</v>
      </c>
      <c r="B112" s="15">
        <v>1.0</v>
      </c>
      <c r="C112" s="15">
        <v>1.0</v>
      </c>
      <c r="D112" s="15">
        <v>0.25</v>
      </c>
      <c r="E112" s="15">
        <v>15.0</v>
      </c>
      <c r="F112" s="15">
        <v>1.0</v>
      </c>
      <c r="G112" s="15">
        <v>2021.0</v>
      </c>
    </row>
    <row r="113" ht="15.75" customHeight="1">
      <c r="A113" s="15" t="s">
        <v>198</v>
      </c>
      <c r="B113" s="15">
        <v>1.0</v>
      </c>
      <c r="C113" s="15">
        <v>1.0</v>
      </c>
      <c r="D113" s="15">
        <v>0.2</v>
      </c>
      <c r="E113" s="15">
        <v>23.0</v>
      </c>
      <c r="F113" s="15">
        <v>1.0</v>
      </c>
      <c r="G113" s="15">
        <v>2020.0</v>
      </c>
    </row>
    <row r="114" ht="15.75" customHeight="1">
      <c r="A114" s="15" t="s">
        <v>199</v>
      </c>
      <c r="B114" s="15">
        <v>1.0</v>
      </c>
      <c r="C114" s="15">
        <v>1.0</v>
      </c>
      <c r="D114" s="15">
        <v>0.0625</v>
      </c>
      <c r="E114" s="15">
        <v>16.0</v>
      </c>
      <c r="F114" s="15">
        <v>1.0</v>
      </c>
      <c r="G114" s="15">
        <v>2009.0</v>
      </c>
    </row>
    <row r="115" ht="15.75" customHeight="1">
      <c r="A115" s="15" t="s">
        <v>200</v>
      </c>
      <c r="B115" s="15">
        <v>1.0</v>
      </c>
      <c r="C115" s="15">
        <v>1.0</v>
      </c>
      <c r="D115" s="15">
        <v>0.166666666666667</v>
      </c>
      <c r="E115" s="15">
        <v>3.0</v>
      </c>
      <c r="F115" s="15">
        <v>1.0</v>
      </c>
      <c r="G115" s="15">
        <v>2019.0</v>
      </c>
    </row>
    <row r="116" ht="15.75" customHeight="1">
      <c r="A116" s="15" t="s">
        <v>201</v>
      </c>
      <c r="B116" s="15">
        <v>1.0</v>
      </c>
      <c r="C116" s="15">
        <v>1.0</v>
      </c>
      <c r="D116" s="15">
        <v>0.5</v>
      </c>
      <c r="E116" s="15">
        <v>5.0</v>
      </c>
      <c r="F116" s="15">
        <v>1.0</v>
      </c>
      <c r="G116" s="15">
        <v>2023.0</v>
      </c>
    </row>
    <row r="117" ht="15.75" customHeight="1">
      <c r="A117" s="15" t="s">
        <v>202</v>
      </c>
      <c r="B117" s="15">
        <v>1.0</v>
      </c>
      <c r="C117" s="15">
        <v>1.0</v>
      </c>
      <c r="D117" s="15">
        <v>0.0476190476190476</v>
      </c>
      <c r="E117" s="15">
        <v>58.0</v>
      </c>
      <c r="F117" s="15">
        <v>1.0</v>
      </c>
      <c r="G117" s="15">
        <v>2004.0</v>
      </c>
    </row>
    <row r="118" ht="15.75" customHeight="1">
      <c r="A118" s="15" t="s">
        <v>203</v>
      </c>
      <c r="B118" s="15">
        <v>1.0</v>
      </c>
      <c r="C118" s="15">
        <v>1.0</v>
      </c>
      <c r="D118" s="15">
        <v>1.0</v>
      </c>
      <c r="E118" s="15">
        <v>4.0</v>
      </c>
      <c r="F118" s="15">
        <v>1.0</v>
      </c>
      <c r="G118" s="15">
        <v>2024.0</v>
      </c>
    </row>
    <row r="119" ht="15.75" customHeight="1">
      <c r="A119" s="15" t="s">
        <v>204</v>
      </c>
      <c r="B119" s="15">
        <v>1.0</v>
      </c>
      <c r="C119" s="15">
        <v>1.0</v>
      </c>
      <c r="D119" s="15">
        <v>0.0588235294117647</v>
      </c>
      <c r="E119" s="15">
        <v>18.0</v>
      </c>
      <c r="F119" s="15">
        <v>1.0</v>
      </c>
      <c r="G119" s="15">
        <v>2008.0</v>
      </c>
    </row>
    <row r="120" ht="15.75" customHeight="1">
      <c r="A120" s="15" t="s">
        <v>205</v>
      </c>
      <c r="B120" s="15">
        <v>1.0</v>
      </c>
      <c r="C120" s="15">
        <v>1.0</v>
      </c>
      <c r="D120" s="15">
        <v>0.142857142857143</v>
      </c>
      <c r="E120" s="15">
        <v>4.0</v>
      </c>
      <c r="F120" s="15">
        <v>1.0</v>
      </c>
      <c r="G120" s="15">
        <v>2018.0</v>
      </c>
    </row>
    <row r="121" ht="15.75" customHeight="1">
      <c r="A121" s="15" t="s">
        <v>208</v>
      </c>
      <c r="B121" s="15">
        <v>1.0</v>
      </c>
      <c r="C121" s="15">
        <v>1.0</v>
      </c>
      <c r="D121" s="15">
        <v>0.5</v>
      </c>
      <c r="E121" s="15">
        <v>1.0</v>
      </c>
      <c r="F121" s="15">
        <v>1.0</v>
      </c>
      <c r="G121" s="15">
        <v>2023.0</v>
      </c>
    </row>
    <row r="122" ht="15.75" customHeight="1">
      <c r="A122" s="15" t="s">
        <v>209</v>
      </c>
      <c r="B122" s="15">
        <v>1.0</v>
      </c>
      <c r="C122" s="15">
        <v>1.0</v>
      </c>
      <c r="D122" s="15">
        <v>0.166666666666667</v>
      </c>
      <c r="E122" s="15">
        <v>4.0</v>
      </c>
      <c r="F122" s="15">
        <v>1.0</v>
      </c>
      <c r="G122" s="15">
        <v>2019.0</v>
      </c>
    </row>
    <row r="123" ht="15.75" customHeight="1">
      <c r="A123" s="15" t="s">
        <v>210</v>
      </c>
      <c r="B123" s="15">
        <v>1.0</v>
      </c>
      <c r="C123" s="15">
        <v>1.0</v>
      </c>
      <c r="D123" s="15">
        <v>1.0</v>
      </c>
      <c r="E123" s="15">
        <v>1.0</v>
      </c>
      <c r="F123" s="15">
        <v>1.0</v>
      </c>
      <c r="G123" s="15">
        <v>2024.0</v>
      </c>
    </row>
    <row r="124" ht="15.75" customHeight="1">
      <c r="A124" s="15" t="s">
        <v>211</v>
      </c>
      <c r="B124" s="15">
        <v>1.0</v>
      </c>
      <c r="C124" s="15">
        <v>1.0</v>
      </c>
      <c r="D124" s="15">
        <v>0.5</v>
      </c>
      <c r="E124" s="15">
        <v>1.0</v>
      </c>
      <c r="F124" s="15">
        <v>1.0</v>
      </c>
      <c r="G124" s="15">
        <v>2023.0</v>
      </c>
    </row>
    <row r="125" ht="15.75" customHeight="1">
      <c r="A125" s="15" t="s">
        <v>212</v>
      </c>
      <c r="B125" s="15">
        <v>1.0</v>
      </c>
      <c r="C125" s="15">
        <v>1.0</v>
      </c>
      <c r="D125" s="15">
        <v>0.2</v>
      </c>
      <c r="E125" s="15">
        <v>21.0</v>
      </c>
      <c r="F125" s="15">
        <v>1.0</v>
      </c>
      <c r="G125" s="15">
        <v>2020.0</v>
      </c>
    </row>
    <row r="126" ht="15.75" customHeight="1">
      <c r="A126" s="15" t="s">
        <v>213</v>
      </c>
      <c r="B126" s="15">
        <v>1.0</v>
      </c>
      <c r="C126" s="15">
        <v>1.0</v>
      </c>
      <c r="D126" s="15">
        <v>0.25</v>
      </c>
      <c r="E126" s="15">
        <v>33.0</v>
      </c>
      <c r="F126" s="15">
        <v>1.0</v>
      </c>
      <c r="G126" s="15">
        <v>2021.0</v>
      </c>
    </row>
    <row r="127" ht="15.75" customHeight="1">
      <c r="A127" s="15" t="s">
        <v>214</v>
      </c>
      <c r="B127" s="15">
        <v>1.0</v>
      </c>
      <c r="C127" s="15">
        <v>1.0</v>
      </c>
      <c r="D127" s="15">
        <v>0.5</v>
      </c>
      <c r="E127" s="15">
        <v>4.0</v>
      </c>
      <c r="F127" s="15">
        <v>1.0</v>
      </c>
      <c r="G127" s="15">
        <v>2023.0</v>
      </c>
    </row>
    <row r="128" ht="15.75" customHeight="1">
      <c r="A128" s="15" t="s">
        <v>215</v>
      </c>
      <c r="B128" s="15">
        <v>1.0</v>
      </c>
      <c r="C128" s="15">
        <v>1.0</v>
      </c>
      <c r="D128" s="15">
        <v>0.166666666666667</v>
      </c>
      <c r="E128" s="15">
        <v>4.0</v>
      </c>
      <c r="F128" s="15">
        <v>1.0</v>
      </c>
      <c r="G128" s="15">
        <v>2019.0</v>
      </c>
    </row>
    <row r="129" ht="15.75" customHeight="1">
      <c r="A129" s="15" t="s">
        <v>216</v>
      </c>
      <c r="B129" s="15">
        <v>1.0</v>
      </c>
      <c r="C129" s="15">
        <v>1.0</v>
      </c>
      <c r="D129" s="15">
        <v>0.2</v>
      </c>
      <c r="E129" s="15">
        <v>6.0</v>
      </c>
      <c r="F129" s="15">
        <v>1.0</v>
      </c>
      <c r="G129" s="15">
        <v>2020.0</v>
      </c>
    </row>
    <row r="130" ht="15.75" customHeight="1">
      <c r="A130" s="15" t="s">
        <v>217</v>
      </c>
      <c r="B130" s="15">
        <v>1.0</v>
      </c>
      <c r="C130" s="15">
        <v>1.0</v>
      </c>
      <c r="D130" s="15">
        <v>0.166666666666667</v>
      </c>
      <c r="E130" s="15">
        <v>1.0</v>
      </c>
      <c r="F130" s="15">
        <v>1.0</v>
      </c>
      <c r="G130" s="15">
        <v>2019.0</v>
      </c>
    </row>
    <row r="131" ht="15.75" customHeight="1">
      <c r="A131" s="15" t="s">
        <v>218</v>
      </c>
      <c r="B131" s="15">
        <v>1.0</v>
      </c>
      <c r="C131" s="15">
        <v>1.0</v>
      </c>
      <c r="D131" s="15">
        <v>0.142857142857143</v>
      </c>
      <c r="E131" s="15">
        <v>1.0</v>
      </c>
      <c r="F131" s="15">
        <v>1.0</v>
      </c>
      <c r="G131" s="15">
        <v>2018.0</v>
      </c>
    </row>
    <row r="132" ht="15.75" customHeight="1">
      <c r="A132" s="15" t="s">
        <v>219</v>
      </c>
      <c r="B132" s="15">
        <v>1.0</v>
      </c>
      <c r="C132" s="15">
        <v>1.0</v>
      </c>
      <c r="D132" s="15">
        <v>0.2</v>
      </c>
      <c r="E132" s="15">
        <v>9.0</v>
      </c>
      <c r="F132" s="15">
        <v>1.0</v>
      </c>
      <c r="G132" s="15">
        <v>2020.0</v>
      </c>
    </row>
    <row r="133" ht="15.75" customHeight="1">
      <c r="A133" s="15" t="s">
        <v>220</v>
      </c>
      <c r="B133" s="15">
        <v>1.0</v>
      </c>
      <c r="C133" s="15">
        <v>1.0</v>
      </c>
      <c r="D133" s="15">
        <v>0.166666666666667</v>
      </c>
      <c r="E133" s="15">
        <v>3.0</v>
      </c>
      <c r="F133" s="15">
        <v>1.0</v>
      </c>
      <c r="G133" s="15">
        <v>2019.0</v>
      </c>
    </row>
    <row r="134" ht="15.75" customHeight="1">
      <c r="A134" s="15" t="s">
        <v>221</v>
      </c>
      <c r="B134" s="15">
        <v>1.0</v>
      </c>
      <c r="C134" s="15">
        <v>1.0</v>
      </c>
      <c r="D134" s="15">
        <v>0.166666666666667</v>
      </c>
      <c r="E134" s="15">
        <v>74.0</v>
      </c>
      <c r="F134" s="15">
        <v>1.0</v>
      </c>
      <c r="G134" s="15">
        <v>2019.0</v>
      </c>
    </row>
    <row r="135" ht="15.75" customHeight="1">
      <c r="A135" s="15" t="s">
        <v>222</v>
      </c>
      <c r="B135" s="15">
        <v>1.0</v>
      </c>
      <c r="C135" s="15">
        <v>1.0</v>
      </c>
      <c r="D135" s="15">
        <v>0.5</v>
      </c>
      <c r="E135" s="15">
        <v>3.0</v>
      </c>
      <c r="F135" s="15">
        <v>1.0</v>
      </c>
      <c r="G135" s="15">
        <v>2023.0</v>
      </c>
    </row>
    <row r="136" ht="15.75" customHeight="1">
      <c r="A136" s="15" t="s">
        <v>223</v>
      </c>
      <c r="B136" s="15">
        <v>1.0</v>
      </c>
      <c r="C136" s="15">
        <v>1.0</v>
      </c>
      <c r="D136" s="15">
        <v>0.111111111111111</v>
      </c>
      <c r="E136" s="15">
        <v>14.0</v>
      </c>
      <c r="F136" s="15">
        <v>1.0</v>
      </c>
      <c r="G136" s="15">
        <v>2016.0</v>
      </c>
    </row>
    <row r="137" ht="15.75" customHeight="1">
      <c r="A137" s="15" t="s">
        <v>224</v>
      </c>
      <c r="B137" s="15">
        <v>1.0</v>
      </c>
      <c r="C137" s="15">
        <v>1.0</v>
      </c>
      <c r="D137" s="15">
        <v>0.25</v>
      </c>
      <c r="E137" s="15">
        <v>30.0</v>
      </c>
      <c r="F137" s="15">
        <v>1.0</v>
      </c>
      <c r="G137" s="15">
        <v>2021.0</v>
      </c>
    </row>
    <row r="138" ht="15.75" customHeight="1">
      <c r="A138" s="15" t="s">
        <v>225</v>
      </c>
      <c r="B138" s="15">
        <v>1.0</v>
      </c>
      <c r="C138" s="15">
        <v>1.0</v>
      </c>
      <c r="D138" s="15">
        <v>0.5</v>
      </c>
      <c r="E138" s="15">
        <v>1.0</v>
      </c>
      <c r="F138" s="15">
        <v>1.0</v>
      </c>
      <c r="G138" s="15">
        <v>2023.0</v>
      </c>
    </row>
    <row r="139" ht="15.75" customHeight="1">
      <c r="A139" s="15" t="s">
        <v>226</v>
      </c>
      <c r="B139" s="15">
        <v>1.0</v>
      </c>
      <c r="C139" s="15">
        <v>1.0</v>
      </c>
      <c r="D139" s="15">
        <v>0.0434782608695652</v>
      </c>
      <c r="E139" s="15">
        <v>14.0</v>
      </c>
      <c r="F139" s="15">
        <v>1.0</v>
      </c>
      <c r="G139" s="15">
        <v>2002.0</v>
      </c>
    </row>
    <row r="140" ht="15.75" customHeight="1">
      <c r="A140" s="15" t="s">
        <v>227</v>
      </c>
      <c r="B140" s="15">
        <v>1.0</v>
      </c>
      <c r="C140" s="15">
        <v>1.0</v>
      </c>
      <c r="D140" s="15">
        <v>0.333333333333333</v>
      </c>
      <c r="E140" s="15">
        <v>3.0</v>
      </c>
      <c r="F140" s="15">
        <v>1.0</v>
      </c>
      <c r="G140" s="15">
        <v>2022.0</v>
      </c>
    </row>
    <row r="141" ht="15.75" customHeight="1">
      <c r="A141" s="15" t="s">
        <v>228</v>
      </c>
      <c r="B141" s="15">
        <v>1.0</v>
      </c>
      <c r="C141" s="15">
        <v>1.0</v>
      </c>
      <c r="D141" s="15">
        <v>0.166666666666667</v>
      </c>
      <c r="E141" s="15">
        <v>1.0</v>
      </c>
      <c r="F141" s="15">
        <v>1.0</v>
      </c>
      <c r="G141" s="15">
        <v>2019.0</v>
      </c>
    </row>
    <row r="142" ht="15.75" customHeight="1">
      <c r="A142" s="15" t="s">
        <v>229</v>
      </c>
      <c r="B142" s="15">
        <v>1.0</v>
      </c>
      <c r="C142" s="15">
        <v>1.0</v>
      </c>
      <c r="D142" s="15">
        <v>0.0714285714285714</v>
      </c>
      <c r="E142" s="15">
        <v>21.0</v>
      </c>
      <c r="F142" s="15">
        <v>1.0</v>
      </c>
      <c r="G142" s="15">
        <v>2011.0</v>
      </c>
    </row>
    <row r="143" ht="15.75" customHeight="1">
      <c r="A143" s="15" t="s">
        <v>230</v>
      </c>
      <c r="B143" s="15">
        <v>1.0</v>
      </c>
      <c r="C143" s="15">
        <v>1.0</v>
      </c>
      <c r="D143" s="15">
        <v>0.0714285714285714</v>
      </c>
      <c r="E143" s="15">
        <v>12.0</v>
      </c>
      <c r="F143" s="15">
        <v>1.0</v>
      </c>
      <c r="G143" s="15">
        <v>2011.0</v>
      </c>
    </row>
    <row r="144" ht="15.75" customHeight="1">
      <c r="A144" s="15" t="s">
        <v>234</v>
      </c>
      <c r="B144" s="15">
        <v>1.0</v>
      </c>
      <c r="C144" s="15">
        <v>1.0</v>
      </c>
      <c r="D144" s="15">
        <v>0.2</v>
      </c>
      <c r="E144" s="15">
        <v>10.0</v>
      </c>
      <c r="F144" s="15">
        <v>1.0</v>
      </c>
      <c r="G144" s="15">
        <v>2020.0</v>
      </c>
    </row>
    <row r="145" ht="15.75" customHeight="1">
      <c r="A145" s="15" t="s">
        <v>236</v>
      </c>
      <c r="B145" s="15">
        <v>1.0</v>
      </c>
      <c r="C145" s="15">
        <v>1.0</v>
      </c>
      <c r="D145" s="15">
        <v>0.5</v>
      </c>
      <c r="E145" s="15">
        <v>2.0</v>
      </c>
      <c r="F145" s="15">
        <v>1.0</v>
      </c>
      <c r="G145" s="15">
        <v>2023.0</v>
      </c>
    </row>
    <row r="146" ht="15.75" customHeight="1">
      <c r="A146" s="15" t="s">
        <v>237</v>
      </c>
      <c r="B146" s="15">
        <v>1.0</v>
      </c>
      <c r="C146" s="15">
        <v>1.0</v>
      </c>
      <c r="D146" s="15">
        <v>0.166666666666667</v>
      </c>
      <c r="E146" s="15">
        <v>11.0</v>
      </c>
      <c r="F146" s="15">
        <v>1.0</v>
      </c>
      <c r="G146" s="15">
        <v>2019.0</v>
      </c>
    </row>
    <row r="147" ht="15.75" customHeight="1">
      <c r="A147" s="15" t="s">
        <v>238</v>
      </c>
      <c r="B147" s="15">
        <v>1.0</v>
      </c>
      <c r="C147" s="15">
        <v>1.0</v>
      </c>
      <c r="D147" s="15">
        <v>0.0625</v>
      </c>
      <c r="E147" s="15">
        <v>2.0</v>
      </c>
      <c r="F147" s="15">
        <v>1.0</v>
      </c>
      <c r="G147" s="15">
        <v>2009.0</v>
      </c>
    </row>
    <row r="148" ht="15.75" customHeight="1">
      <c r="A148" s="15" t="s">
        <v>239</v>
      </c>
      <c r="B148" s="15">
        <v>1.0</v>
      </c>
      <c r="C148" s="15">
        <v>1.0</v>
      </c>
      <c r="D148" s="15">
        <v>0.2</v>
      </c>
      <c r="E148" s="15">
        <v>50.0</v>
      </c>
      <c r="F148" s="15">
        <v>1.0</v>
      </c>
      <c r="G148" s="15">
        <v>2020.0</v>
      </c>
    </row>
    <row r="149" ht="15.75" customHeight="1">
      <c r="A149" s="15" t="s">
        <v>240</v>
      </c>
      <c r="B149" s="15">
        <v>1.0</v>
      </c>
      <c r="C149" s="15">
        <v>1.0</v>
      </c>
      <c r="D149" s="15">
        <v>0.166666666666667</v>
      </c>
      <c r="E149" s="15">
        <v>25.0</v>
      </c>
      <c r="F149" s="15">
        <v>1.0</v>
      </c>
      <c r="G149" s="15">
        <v>2019.0</v>
      </c>
    </row>
    <row r="150" ht="15.75" customHeight="1">
      <c r="A150" s="15" t="s">
        <v>242</v>
      </c>
      <c r="B150" s="15">
        <v>1.0</v>
      </c>
      <c r="C150" s="15">
        <v>1.0</v>
      </c>
      <c r="D150" s="15">
        <v>0.111111111111111</v>
      </c>
      <c r="E150" s="15">
        <v>28.0</v>
      </c>
      <c r="F150" s="15">
        <v>1.0</v>
      </c>
      <c r="G150" s="15">
        <v>2016.0</v>
      </c>
    </row>
    <row r="151" ht="15.75" customHeight="1">
      <c r="A151" s="15" t="s">
        <v>243</v>
      </c>
      <c r="B151" s="15">
        <v>1.0</v>
      </c>
      <c r="C151" s="15">
        <v>1.0</v>
      </c>
      <c r="D151" s="15">
        <v>0.0625</v>
      </c>
      <c r="E151" s="15">
        <v>7.0</v>
      </c>
      <c r="F151" s="15">
        <v>1.0</v>
      </c>
      <c r="G151" s="15">
        <v>2009.0</v>
      </c>
    </row>
    <row r="152" ht="15.75" customHeight="1">
      <c r="A152" s="15" t="s">
        <v>244</v>
      </c>
      <c r="B152" s="15">
        <v>1.0</v>
      </c>
      <c r="C152" s="15">
        <v>1.0</v>
      </c>
      <c r="D152" s="15">
        <v>0.2</v>
      </c>
      <c r="E152" s="15">
        <v>25.0</v>
      </c>
      <c r="F152" s="15">
        <v>1.0</v>
      </c>
      <c r="G152" s="15">
        <v>2020.0</v>
      </c>
    </row>
    <row r="153" ht="15.75" customHeight="1">
      <c r="A153" s="15" t="s">
        <v>245</v>
      </c>
      <c r="B153" s="15">
        <v>1.0</v>
      </c>
      <c r="C153" s="15">
        <v>1.0</v>
      </c>
      <c r="D153" s="15">
        <v>0.166666666666667</v>
      </c>
      <c r="E153" s="15">
        <v>4.0</v>
      </c>
      <c r="F153" s="15">
        <v>1.0</v>
      </c>
      <c r="G153" s="15">
        <v>2019.0</v>
      </c>
    </row>
    <row r="154" ht="15.75" customHeight="1">
      <c r="A154" s="15" t="s">
        <v>246</v>
      </c>
      <c r="B154" s="15">
        <v>1.0</v>
      </c>
      <c r="C154" s="15">
        <v>1.0</v>
      </c>
      <c r="D154" s="15">
        <v>0.1</v>
      </c>
      <c r="E154" s="15">
        <v>3.0</v>
      </c>
      <c r="F154" s="15">
        <v>1.0</v>
      </c>
      <c r="G154" s="15">
        <v>2015.0</v>
      </c>
    </row>
    <row r="155" ht="15.75" customHeight="1">
      <c r="A155" s="15" t="s">
        <v>248</v>
      </c>
      <c r="B155" s="15">
        <v>1.0</v>
      </c>
      <c r="C155" s="15">
        <v>1.0</v>
      </c>
      <c r="D155" s="15">
        <v>1.0</v>
      </c>
      <c r="E155" s="15">
        <v>5.0</v>
      </c>
      <c r="F155" s="15">
        <v>1.0</v>
      </c>
      <c r="G155" s="15">
        <v>2024.0</v>
      </c>
    </row>
    <row r="156" ht="15.75" customHeight="1">
      <c r="A156" s="15" t="s">
        <v>249</v>
      </c>
      <c r="B156" s="15">
        <v>1.0</v>
      </c>
      <c r="C156" s="15">
        <v>1.0</v>
      </c>
      <c r="D156" s="15">
        <v>0.0714285714285714</v>
      </c>
      <c r="E156" s="15">
        <v>23.0</v>
      </c>
      <c r="F156" s="15">
        <v>1.0</v>
      </c>
      <c r="G156" s="15">
        <v>2011.0</v>
      </c>
    </row>
    <row r="157" ht="15.75" customHeight="1">
      <c r="A157" s="15" t="s">
        <v>250</v>
      </c>
      <c r="B157" s="15">
        <v>1.0</v>
      </c>
      <c r="C157" s="15">
        <v>1.0</v>
      </c>
      <c r="D157" s="15">
        <v>0.25</v>
      </c>
      <c r="E157" s="15">
        <v>6.0</v>
      </c>
      <c r="F157" s="15">
        <v>1.0</v>
      </c>
      <c r="G157" s="15">
        <v>2021.0</v>
      </c>
    </row>
    <row r="158" ht="15.75" customHeight="1">
      <c r="A158" s="15" t="s">
        <v>252</v>
      </c>
      <c r="B158" s="15">
        <v>1.0</v>
      </c>
      <c r="C158" s="15">
        <v>1.0</v>
      </c>
      <c r="D158" s="15">
        <v>0.333333333333333</v>
      </c>
      <c r="E158" s="15">
        <v>1.0</v>
      </c>
      <c r="F158" s="15">
        <v>1.0</v>
      </c>
      <c r="G158" s="15">
        <v>2022.0</v>
      </c>
    </row>
    <row r="159" ht="15.75" customHeight="1">
      <c r="A159" s="15" t="s">
        <v>254</v>
      </c>
      <c r="B159" s="15">
        <v>1.0</v>
      </c>
      <c r="C159" s="15">
        <v>1.0</v>
      </c>
      <c r="D159" s="15">
        <v>0.5</v>
      </c>
      <c r="E159" s="15">
        <v>3.0</v>
      </c>
      <c r="F159" s="15">
        <v>1.0</v>
      </c>
      <c r="G159" s="15">
        <v>2023.0</v>
      </c>
    </row>
    <row r="160" ht="15.75" customHeight="1">
      <c r="A160" s="15" t="s">
        <v>255</v>
      </c>
      <c r="B160" s="15">
        <v>1.0</v>
      </c>
      <c r="C160" s="15">
        <v>1.0</v>
      </c>
      <c r="D160" s="15">
        <v>0.333333333333333</v>
      </c>
      <c r="E160" s="15">
        <v>10.0</v>
      </c>
      <c r="F160" s="15">
        <v>1.0</v>
      </c>
      <c r="G160" s="15">
        <v>2022.0</v>
      </c>
    </row>
    <row r="161" ht="15.75" customHeight="1">
      <c r="A161" s="15" t="s">
        <v>256</v>
      </c>
      <c r="B161" s="15">
        <v>1.0</v>
      </c>
      <c r="C161" s="15">
        <v>1.0</v>
      </c>
      <c r="D161" s="15">
        <v>0.125</v>
      </c>
      <c r="E161" s="15">
        <v>23.0</v>
      </c>
      <c r="F161" s="15">
        <v>1.0</v>
      </c>
      <c r="G161" s="15">
        <v>2017.0</v>
      </c>
    </row>
    <row r="162" ht="15.75" customHeight="1">
      <c r="A162" s="15" t="s">
        <v>257</v>
      </c>
      <c r="B162" s="15">
        <v>1.0</v>
      </c>
      <c r="C162" s="15">
        <v>1.0</v>
      </c>
      <c r="D162" s="15">
        <v>0.0526315789473684</v>
      </c>
      <c r="E162" s="15">
        <v>10.0</v>
      </c>
      <c r="F162" s="15">
        <v>1.0</v>
      </c>
      <c r="G162" s="15">
        <v>2006.0</v>
      </c>
    </row>
    <row r="163" ht="15.75" customHeight="1">
      <c r="A163" s="15" t="s">
        <v>259</v>
      </c>
      <c r="B163" s="15">
        <v>1.0</v>
      </c>
      <c r="C163" s="15">
        <v>1.0</v>
      </c>
      <c r="D163" s="15">
        <v>0.0769230769230769</v>
      </c>
      <c r="E163" s="15">
        <v>2.0</v>
      </c>
      <c r="F163" s="15">
        <v>1.0</v>
      </c>
      <c r="G163" s="15">
        <v>2012.0</v>
      </c>
    </row>
    <row r="164" ht="15.75" customHeight="1">
      <c r="A164" s="15" t="s">
        <v>260</v>
      </c>
      <c r="B164" s="15">
        <v>1.0</v>
      </c>
      <c r="C164" s="15">
        <v>1.0</v>
      </c>
      <c r="D164" s="15">
        <v>0.333333333333333</v>
      </c>
      <c r="E164" s="15">
        <v>4.0</v>
      </c>
      <c r="F164" s="15">
        <v>1.0</v>
      </c>
      <c r="G164" s="15">
        <v>2022.0</v>
      </c>
    </row>
    <row r="165" ht="15.75" customHeight="1">
      <c r="A165" s="15" t="s">
        <v>262</v>
      </c>
      <c r="B165" s="15">
        <v>1.0</v>
      </c>
      <c r="C165" s="15">
        <v>1.0</v>
      </c>
      <c r="D165" s="15">
        <v>0.0714285714285714</v>
      </c>
      <c r="E165" s="15">
        <v>33.0</v>
      </c>
      <c r="F165" s="15">
        <v>1.0</v>
      </c>
      <c r="G165" s="15">
        <v>2011.0</v>
      </c>
    </row>
    <row r="166" ht="15.75" customHeight="1">
      <c r="A166" s="15" t="s">
        <v>263</v>
      </c>
      <c r="B166" s="15">
        <v>1.0</v>
      </c>
      <c r="C166" s="15">
        <v>1.0</v>
      </c>
      <c r="D166" s="15">
        <v>0.0909090909090909</v>
      </c>
      <c r="E166" s="15">
        <v>2.0</v>
      </c>
      <c r="F166" s="15">
        <v>1.0</v>
      </c>
      <c r="G166" s="15">
        <v>2014.0</v>
      </c>
    </row>
    <row r="167" ht="15.75" customHeight="1">
      <c r="A167" s="15" t="s">
        <v>265</v>
      </c>
      <c r="B167" s="15">
        <v>1.0</v>
      </c>
      <c r="C167" s="15">
        <v>1.0</v>
      </c>
      <c r="D167" s="15">
        <v>0.142857142857143</v>
      </c>
      <c r="E167" s="15">
        <v>9.0</v>
      </c>
      <c r="F167" s="15">
        <v>1.0</v>
      </c>
      <c r="G167" s="15">
        <v>2018.0</v>
      </c>
    </row>
    <row r="168" ht="15.75" customHeight="1">
      <c r="A168" s="15" t="s">
        <v>266</v>
      </c>
      <c r="B168" s="15">
        <v>1.0</v>
      </c>
      <c r="C168" s="15">
        <v>1.0</v>
      </c>
      <c r="D168" s="15">
        <v>1.0</v>
      </c>
      <c r="E168" s="15">
        <v>1.0</v>
      </c>
      <c r="F168" s="15">
        <v>1.0</v>
      </c>
      <c r="G168" s="15">
        <v>2024.0</v>
      </c>
    </row>
    <row r="169" ht="15.75" customHeight="1">
      <c r="A169" s="15" t="s">
        <v>267</v>
      </c>
      <c r="B169" s="15">
        <v>1.0</v>
      </c>
      <c r="C169" s="15">
        <v>1.0</v>
      </c>
      <c r="D169" s="15">
        <v>0.2</v>
      </c>
      <c r="E169" s="15">
        <v>5.0</v>
      </c>
      <c r="F169" s="15">
        <v>1.0</v>
      </c>
      <c r="G169" s="15">
        <v>2020.0</v>
      </c>
    </row>
    <row r="170" ht="15.75" customHeight="1">
      <c r="A170" s="15" t="s">
        <v>268</v>
      </c>
      <c r="B170" s="15">
        <v>1.0</v>
      </c>
      <c r="C170" s="15">
        <v>1.0</v>
      </c>
      <c r="D170" s="15">
        <v>0.5</v>
      </c>
      <c r="E170" s="15">
        <v>1.0</v>
      </c>
      <c r="F170" s="15">
        <v>1.0</v>
      </c>
      <c r="G170" s="15">
        <v>2023.0</v>
      </c>
    </row>
    <row r="171" ht="15.75" customHeight="1">
      <c r="A171" s="15" t="s">
        <v>270</v>
      </c>
      <c r="B171" s="15">
        <v>1.0</v>
      </c>
      <c r="C171" s="15">
        <v>1.0</v>
      </c>
      <c r="D171" s="15">
        <v>0.0526315789473684</v>
      </c>
      <c r="E171" s="15">
        <v>8.0</v>
      </c>
      <c r="F171" s="15">
        <v>1.0</v>
      </c>
      <c r="G171" s="15">
        <v>2006.0</v>
      </c>
    </row>
    <row r="172" ht="15.75" customHeight="1">
      <c r="A172" s="15" t="s">
        <v>271</v>
      </c>
      <c r="B172" s="15">
        <v>1.0</v>
      </c>
      <c r="C172" s="15">
        <v>1.0</v>
      </c>
      <c r="D172" s="15">
        <v>0.5</v>
      </c>
      <c r="E172" s="15">
        <v>2.0</v>
      </c>
      <c r="F172" s="15">
        <v>1.0</v>
      </c>
      <c r="G172" s="15">
        <v>2023.0</v>
      </c>
    </row>
    <row r="173" ht="15.75" customHeight="1">
      <c r="A173" s="15" t="s">
        <v>273</v>
      </c>
      <c r="B173" s="15">
        <v>1.0</v>
      </c>
      <c r="C173" s="15">
        <v>1.0</v>
      </c>
      <c r="D173" s="15">
        <v>0.5</v>
      </c>
      <c r="E173" s="15">
        <v>2.0</v>
      </c>
      <c r="F173" s="15">
        <v>1.0</v>
      </c>
      <c r="G173" s="15">
        <v>2023.0</v>
      </c>
    </row>
    <row r="174" ht="15.75" customHeight="1">
      <c r="A174" s="15" t="s">
        <v>274</v>
      </c>
      <c r="B174" s="15">
        <v>1.0</v>
      </c>
      <c r="C174" s="15">
        <v>1.0</v>
      </c>
      <c r="D174" s="15">
        <v>0.166666666666667</v>
      </c>
      <c r="E174" s="15">
        <v>2.0</v>
      </c>
      <c r="F174" s="15">
        <v>1.0</v>
      </c>
      <c r="G174" s="15">
        <v>2019.0</v>
      </c>
    </row>
    <row r="175" ht="15.75" customHeight="1">
      <c r="A175" s="15" t="s">
        <v>275</v>
      </c>
      <c r="B175" s="15">
        <v>1.0</v>
      </c>
      <c r="C175" s="15">
        <v>1.0</v>
      </c>
      <c r="D175" s="15">
        <v>1.0</v>
      </c>
      <c r="E175" s="15">
        <v>1.0</v>
      </c>
      <c r="F175" s="15">
        <v>1.0</v>
      </c>
      <c r="G175" s="15">
        <v>2024.0</v>
      </c>
    </row>
    <row r="176" ht="15.75" customHeight="1">
      <c r="A176" s="15" t="s">
        <v>276</v>
      </c>
      <c r="B176" s="15">
        <v>1.0</v>
      </c>
      <c r="C176" s="15">
        <v>1.0</v>
      </c>
      <c r="D176" s="15">
        <v>1.0</v>
      </c>
      <c r="E176" s="15">
        <v>2.0</v>
      </c>
      <c r="F176" s="15">
        <v>1.0</v>
      </c>
      <c r="G176" s="15">
        <v>2024.0</v>
      </c>
    </row>
    <row r="177" ht="15.75" customHeight="1">
      <c r="A177" s="15" t="s">
        <v>277</v>
      </c>
      <c r="B177" s="15">
        <v>1.0</v>
      </c>
      <c r="C177" s="15">
        <v>1.0</v>
      </c>
      <c r="D177" s="15">
        <v>0.25</v>
      </c>
      <c r="E177" s="15">
        <v>5.0</v>
      </c>
      <c r="F177" s="15">
        <v>1.0</v>
      </c>
      <c r="G177" s="15">
        <v>2021.0</v>
      </c>
    </row>
    <row r="178" ht="15.75" customHeight="1">
      <c r="A178" s="15" t="s">
        <v>279</v>
      </c>
      <c r="B178" s="15">
        <v>1.0</v>
      </c>
      <c r="C178" s="15">
        <v>1.0</v>
      </c>
      <c r="D178" s="15">
        <v>0.25</v>
      </c>
      <c r="E178" s="15">
        <v>4.0</v>
      </c>
      <c r="F178" s="15">
        <v>1.0</v>
      </c>
      <c r="G178" s="15">
        <v>2021.0</v>
      </c>
    </row>
    <row r="179" ht="15.75" customHeight="1">
      <c r="A179" s="15" t="s">
        <v>280</v>
      </c>
      <c r="B179" s="15">
        <v>1.0</v>
      </c>
      <c r="C179" s="15">
        <v>1.0</v>
      </c>
      <c r="D179" s="15">
        <v>0.25</v>
      </c>
      <c r="E179" s="15">
        <v>14.0</v>
      </c>
      <c r="F179" s="15">
        <v>1.0</v>
      </c>
      <c r="G179" s="15">
        <v>2021.0</v>
      </c>
    </row>
    <row r="180" ht="15.75" customHeight="1">
      <c r="A180" s="15" t="s">
        <v>281</v>
      </c>
      <c r="B180" s="15">
        <v>1.0</v>
      </c>
      <c r="C180" s="15">
        <v>1.0</v>
      </c>
      <c r="D180" s="15">
        <v>0.125</v>
      </c>
      <c r="E180" s="15">
        <v>29.0</v>
      </c>
      <c r="F180" s="15">
        <v>1.0</v>
      </c>
      <c r="G180" s="15">
        <v>2017.0</v>
      </c>
    </row>
    <row r="181" ht="15.75" customHeight="1">
      <c r="A181" s="15" t="s">
        <v>282</v>
      </c>
      <c r="B181" s="15">
        <v>1.0</v>
      </c>
      <c r="C181" s="15">
        <v>1.0</v>
      </c>
      <c r="D181" s="15">
        <v>0.166666666666667</v>
      </c>
      <c r="E181" s="15">
        <v>1.0</v>
      </c>
      <c r="F181" s="15">
        <v>1.0</v>
      </c>
      <c r="G181" s="15">
        <v>2019.0</v>
      </c>
    </row>
    <row r="182" ht="15.75" customHeight="1">
      <c r="A182" s="15" t="s">
        <v>283</v>
      </c>
      <c r="B182" s="15">
        <v>1.0</v>
      </c>
      <c r="C182" s="15">
        <v>1.0</v>
      </c>
      <c r="D182" s="15">
        <v>0.0526315789473684</v>
      </c>
      <c r="E182" s="15">
        <v>2.0</v>
      </c>
      <c r="F182" s="15">
        <v>1.0</v>
      </c>
      <c r="G182" s="15">
        <v>2006.0</v>
      </c>
    </row>
    <row r="183" ht="15.75" customHeight="1">
      <c r="A183" s="15" t="s">
        <v>284</v>
      </c>
      <c r="B183" s="15">
        <v>1.0</v>
      </c>
      <c r="C183" s="15">
        <v>1.0</v>
      </c>
      <c r="D183" s="15">
        <v>0.125</v>
      </c>
      <c r="E183" s="15">
        <v>7.0</v>
      </c>
      <c r="F183" s="15">
        <v>1.0</v>
      </c>
      <c r="G183" s="15">
        <v>2017.0</v>
      </c>
    </row>
    <row r="184" ht="15.75" customHeight="1">
      <c r="A184" s="15" t="s">
        <v>286</v>
      </c>
      <c r="B184" s="15">
        <v>1.0</v>
      </c>
      <c r="C184" s="15">
        <v>1.0</v>
      </c>
      <c r="D184" s="15">
        <v>0.142857142857143</v>
      </c>
      <c r="E184" s="15">
        <v>1.0</v>
      </c>
      <c r="F184" s="15">
        <v>1.0</v>
      </c>
      <c r="G184" s="15">
        <v>2018.0</v>
      </c>
    </row>
    <row r="185" ht="15.75" customHeight="1">
      <c r="A185" s="15" t="s">
        <v>287</v>
      </c>
      <c r="B185" s="15">
        <v>1.0</v>
      </c>
      <c r="C185" s="15">
        <v>1.0</v>
      </c>
      <c r="D185" s="15">
        <v>0.5</v>
      </c>
      <c r="E185" s="15">
        <v>1.0</v>
      </c>
      <c r="F185" s="15">
        <v>1.0</v>
      </c>
      <c r="G185" s="15">
        <v>2023.0</v>
      </c>
    </row>
    <row r="186" ht="15.75" customHeight="1">
      <c r="A186" s="15" t="s">
        <v>288</v>
      </c>
      <c r="B186" s="15">
        <v>1.0</v>
      </c>
      <c r="C186" s="15">
        <v>1.0</v>
      </c>
      <c r="D186" s="15">
        <v>0.125</v>
      </c>
      <c r="E186" s="15">
        <v>37.0</v>
      </c>
      <c r="F186" s="15">
        <v>1.0</v>
      </c>
      <c r="G186" s="15">
        <v>2017.0</v>
      </c>
    </row>
    <row r="187" ht="15.75" customHeight="1">
      <c r="A187" s="15" t="s">
        <v>289</v>
      </c>
      <c r="B187" s="15">
        <v>1.0</v>
      </c>
      <c r="C187" s="15">
        <v>1.0</v>
      </c>
      <c r="D187" s="15">
        <v>0.333333333333333</v>
      </c>
      <c r="E187" s="15">
        <v>5.0</v>
      </c>
      <c r="F187" s="15">
        <v>1.0</v>
      </c>
      <c r="G187" s="15">
        <v>2022.0</v>
      </c>
    </row>
    <row r="188" ht="15.75" customHeight="1">
      <c r="A188" s="15" t="s">
        <v>290</v>
      </c>
      <c r="B188" s="15">
        <v>1.0</v>
      </c>
      <c r="C188" s="15">
        <v>1.0</v>
      </c>
      <c r="D188" s="15">
        <v>0.5</v>
      </c>
      <c r="E188" s="15">
        <v>3.0</v>
      </c>
      <c r="F188" s="15">
        <v>1.0</v>
      </c>
      <c r="G188" s="15">
        <v>2023.0</v>
      </c>
    </row>
    <row r="189" ht="15.75" customHeight="1">
      <c r="A189" s="15" t="s">
        <v>291</v>
      </c>
      <c r="B189" s="15">
        <v>1.0</v>
      </c>
      <c r="C189" s="15">
        <v>1.0</v>
      </c>
      <c r="D189" s="15">
        <v>0.25</v>
      </c>
      <c r="E189" s="15">
        <v>1.0</v>
      </c>
      <c r="F189" s="15">
        <v>1.0</v>
      </c>
      <c r="G189" s="15">
        <v>2021.0</v>
      </c>
    </row>
    <row r="190" ht="15.75" customHeight="1">
      <c r="A190" s="15" t="s">
        <v>292</v>
      </c>
      <c r="B190" s="15">
        <v>1.0</v>
      </c>
      <c r="C190" s="15">
        <v>1.0</v>
      </c>
      <c r="D190" s="15">
        <v>0.0769230769230769</v>
      </c>
      <c r="E190" s="15">
        <v>4.0</v>
      </c>
      <c r="F190" s="15">
        <v>1.0</v>
      </c>
      <c r="G190" s="15">
        <v>2012.0</v>
      </c>
    </row>
    <row r="191" ht="15.75" customHeight="1">
      <c r="A191" s="15" t="s">
        <v>293</v>
      </c>
      <c r="B191" s="15">
        <v>1.0</v>
      </c>
      <c r="C191" s="15">
        <v>1.0</v>
      </c>
      <c r="D191" s="15">
        <v>0.333333333333333</v>
      </c>
      <c r="E191" s="15">
        <v>1.0</v>
      </c>
      <c r="F191" s="15">
        <v>1.0</v>
      </c>
      <c r="G191" s="15">
        <v>2022.0</v>
      </c>
    </row>
    <row r="192" ht="15.75" customHeight="1">
      <c r="A192" s="15" t="s">
        <v>294</v>
      </c>
      <c r="B192" s="15">
        <v>1.0</v>
      </c>
      <c r="C192" s="15">
        <v>1.0</v>
      </c>
      <c r="D192" s="15">
        <v>1.0</v>
      </c>
      <c r="E192" s="15">
        <v>11.0</v>
      </c>
      <c r="F192" s="15">
        <v>1.0</v>
      </c>
      <c r="G192" s="15">
        <v>2024.0</v>
      </c>
    </row>
    <row r="193" ht="15.75" customHeight="1">
      <c r="A193" s="15" t="s">
        <v>295</v>
      </c>
      <c r="B193" s="15">
        <v>1.0</v>
      </c>
      <c r="C193" s="15">
        <v>1.0</v>
      </c>
      <c r="D193" s="15">
        <v>0.2</v>
      </c>
      <c r="E193" s="15">
        <v>15.0</v>
      </c>
      <c r="F193" s="15">
        <v>1.0</v>
      </c>
      <c r="G193" s="15">
        <v>2020.0</v>
      </c>
    </row>
    <row r="194" ht="15.75" customHeight="1">
      <c r="A194" s="15" t="s">
        <v>297</v>
      </c>
      <c r="B194" s="15">
        <v>1.0</v>
      </c>
      <c r="C194" s="15">
        <v>1.0</v>
      </c>
      <c r="D194" s="15">
        <v>0.0588235294117647</v>
      </c>
      <c r="E194" s="15">
        <v>6.0</v>
      </c>
      <c r="F194" s="15">
        <v>1.0</v>
      </c>
      <c r="G194" s="15">
        <v>2008.0</v>
      </c>
    </row>
    <row r="195" ht="15.75" customHeight="1">
      <c r="A195" s="15" t="s">
        <v>298</v>
      </c>
      <c r="B195" s="15">
        <v>1.0</v>
      </c>
      <c r="C195" s="15">
        <v>1.0</v>
      </c>
      <c r="D195" s="15">
        <v>0.166666666666667</v>
      </c>
      <c r="E195" s="15">
        <v>17.0</v>
      </c>
      <c r="F195" s="15">
        <v>1.0</v>
      </c>
      <c r="G195" s="15">
        <v>2019.0</v>
      </c>
    </row>
    <row r="196" ht="15.75" customHeight="1">
      <c r="A196" s="15" t="s">
        <v>299</v>
      </c>
      <c r="B196" s="15">
        <v>1.0</v>
      </c>
      <c r="C196" s="15">
        <v>1.0</v>
      </c>
      <c r="D196" s="15">
        <v>1.0</v>
      </c>
      <c r="E196" s="15">
        <v>2.0</v>
      </c>
      <c r="F196" s="15">
        <v>1.0</v>
      </c>
      <c r="G196" s="15">
        <v>2024.0</v>
      </c>
    </row>
    <row r="197" ht="15.75" customHeight="1">
      <c r="A197" s="15" t="s">
        <v>301</v>
      </c>
      <c r="B197" s="15">
        <v>1.0</v>
      </c>
      <c r="C197" s="15">
        <v>1.0</v>
      </c>
      <c r="D197" s="15">
        <v>0.25</v>
      </c>
      <c r="E197" s="15">
        <v>1.0</v>
      </c>
      <c r="F197" s="15">
        <v>1.0</v>
      </c>
      <c r="G197" s="15">
        <v>2021.0</v>
      </c>
    </row>
    <row r="198" ht="15.75" customHeight="1">
      <c r="A198" s="15" t="s">
        <v>305</v>
      </c>
      <c r="B198" s="15">
        <v>1.0</v>
      </c>
      <c r="C198" s="15">
        <v>1.0</v>
      </c>
      <c r="D198" s="15">
        <v>0.166666666666667</v>
      </c>
      <c r="E198" s="15">
        <v>5.0</v>
      </c>
      <c r="F198" s="15">
        <v>1.0</v>
      </c>
      <c r="G198" s="15">
        <v>2019.0</v>
      </c>
    </row>
    <row r="199" ht="15.75" customHeight="1">
      <c r="A199" s="15" t="s">
        <v>306</v>
      </c>
      <c r="B199" s="15">
        <v>1.0</v>
      </c>
      <c r="C199" s="15">
        <v>1.0</v>
      </c>
      <c r="D199" s="15">
        <v>0.25</v>
      </c>
      <c r="E199" s="15">
        <v>2.0</v>
      </c>
      <c r="F199" s="15">
        <v>1.0</v>
      </c>
      <c r="G199" s="15">
        <v>2021.0</v>
      </c>
    </row>
    <row r="200" ht="15.75" customHeight="1">
      <c r="A200" s="15" t="s">
        <v>308</v>
      </c>
      <c r="B200" s="15">
        <v>1.0</v>
      </c>
      <c r="C200" s="15">
        <v>1.0</v>
      </c>
      <c r="D200" s="15">
        <v>0.5</v>
      </c>
      <c r="E200" s="15">
        <v>1.0</v>
      </c>
      <c r="F200" s="15">
        <v>1.0</v>
      </c>
      <c r="G200" s="15">
        <v>2023.0</v>
      </c>
    </row>
    <row r="201" ht="15.75" customHeight="1">
      <c r="A201" s="15" t="s">
        <v>310</v>
      </c>
      <c r="B201" s="15">
        <v>1.0</v>
      </c>
      <c r="C201" s="15">
        <v>1.0</v>
      </c>
      <c r="D201" s="15">
        <v>1.0</v>
      </c>
      <c r="E201" s="15">
        <v>2.0</v>
      </c>
      <c r="F201" s="15">
        <v>1.0</v>
      </c>
      <c r="G201" s="15">
        <v>2024.0</v>
      </c>
    </row>
    <row r="202" ht="15.75" customHeight="1">
      <c r="A202" s="15" t="s">
        <v>312</v>
      </c>
      <c r="B202" s="15">
        <v>1.0</v>
      </c>
      <c r="C202" s="15">
        <v>1.0</v>
      </c>
      <c r="D202" s="15">
        <v>0.25</v>
      </c>
      <c r="E202" s="15">
        <v>20.0</v>
      </c>
      <c r="F202" s="15">
        <v>1.0</v>
      </c>
      <c r="G202" s="15">
        <v>2021.0</v>
      </c>
    </row>
    <row r="203" ht="15.75" customHeight="1">
      <c r="A203" s="15" t="s">
        <v>313</v>
      </c>
      <c r="B203" s="15">
        <v>1.0</v>
      </c>
      <c r="C203" s="15">
        <v>1.0</v>
      </c>
      <c r="D203" s="15">
        <v>0.5</v>
      </c>
      <c r="E203" s="15">
        <v>2.0</v>
      </c>
      <c r="F203" s="15">
        <v>1.0</v>
      </c>
      <c r="G203" s="15">
        <v>2023.0</v>
      </c>
    </row>
    <row r="204" ht="15.75" customHeight="1">
      <c r="A204" s="15" t="s">
        <v>316</v>
      </c>
      <c r="B204" s="15">
        <v>1.0</v>
      </c>
      <c r="C204" s="15">
        <v>1.0</v>
      </c>
      <c r="D204" s="15">
        <v>0.0555555555555556</v>
      </c>
      <c r="E204" s="15">
        <v>14.0</v>
      </c>
      <c r="F204" s="15">
        <v>1.0</v>
      </c>
      <c r="G204" s="15">
        <v>2007.0</v>
      </c>
    </row>
    <row r="205" ht="15.75" customHeight="1">
      <c r="A205" s="15" t="s">
        <v>317</v>
      </c>
      <c r="B205" s="15">
        <v>1.0</v>
      </c>
      <c r="C205" s="15">
        <v>1.0</v>
      </c>
      <c r="D205" s="15">
        <v>0.333333333333333</v>
      </c>
      <c r="E205" s="15">
        <v>1.0</v>
      </c>
      <c r="F205" s="15">
        <v>1.0</v>
      </c>
      <c r="G205" s="15">
        <v>2022.0</v>
      </c>
    </row>
    <row r="206" ht="15.75" customHeight="1">
      <c r="A206" s="15" t="s">
        <v>318</v>
      </c>
      <c r="B206" s="15">
        <v>1.0</v>
      </c>
      <c r="C206" s="15">
        <v>1.0</v>
      </c>
      <c r="D206" s="15">
        <v>1.0</v>
      </c>
      <c r="E206" s="15">
        <v>1.0</v>
      </c>
      <c r="F206" s="15">
        <v>1.0</v>
      </c>
      <c r="G206" s="15">
        <v>2024.0</v>
      </c>
    </row>
    <row r="207" ht="15.75" customHeight="1">
      <c r="A207" s="15" t="s">
        <v>319</v>
      </c>
      <c r="B207" s="15">
        <v>1.0</v>
      </c>
      <c r="C207" s="15">
        <v>1.0</v>
      </c>
      <c r="D207" s="15">
        <v>0.25</v>
      </c>
      <c r="E207" s="15">
        <v>1.0</v>
      </c>
      <c r="F207" s="15">
        <v>1.0</v>
      </c>
      <c r="G207" s="15">
        <v>2021.0</v>
      </c>
    </row>
    <row r="208" ht="15.75" customHeight="1">
      <c r="A208" s="15" t="s">
        <v>321</v>
      </c>
      <c r="B208" s="15">
        <v>1.0</v>
      </c>
      <c r="C208" s="15">
        <v>1.0</v>
      </c>
      <c r="D208" s="15">
        <v>0.0555555555555556</v>
      </c>
      <c r="E208" s="15">
        <v>305.0</v>
      </c>
      <c r="F208" s="15">
        <v>1.0</v>
      </c>
      <c r="G208" s="15">
        <v>2007.0</v>
      </c>
    </row>
    <row r="209" ht="15.75" customHeight="1">
      <c r="A209" s="15" t="s">
        <v>322</v>
      </c>
      <c r="B209" s="15">
        <v>1.0</v>
      </c>
      <c r="C209" s="15">
        <v>1.0</v>
      </c>
      <c r="D209" s="15">
        <v>0.0909090909090909</v>
      </c>
      <c r="E209" s="15">
        <v>376.0</v>
      </c>
      <c r="F209" s="15">
        <v>1.0</v>
      </c>
      <c r="G209" s="15">
        <v>2014.0</v>
      </c>
    </row>
    <row r="210" ht="15.75" customHeight="1">
      <c r="A210" s="15" t="s">
        <v>323</v>
      </c>
      <c r="B210" s="15">
        <v>1.0</v>
      </c>
      <c r="C210" s="15">
        <v>1.0</v>
      </c>
      <c r="D210" s="15">
        <v>0.5</v>
      </c>
      <c r="E210" s="15">
        <v>1.0</v>
      </c>
      <c r="F210" s="15">
        <v>1.0</v>
      </c>
      <c r="G210" s="15">
        <v>2023.0</v>
      </c>
    </row>
    <row r="211" ht="15.75" customHeight="1">
      <c r="A211" s="15" t="s">
        <v>324</v>
      </c>
      <c r="B211" s="15">
        <v>1.0</v>
      </c>
      <c r="C211" s="15">
        <v>1.0</v>
      </c>
      <c r="D211" s="15">
        <v>0.2</v>
      </c>
      <c r="E211" s="15">
        <v>60.0</v>
      </c>
      <c r="F211" s="15">
        <v>1.0</v>
      </c>
      <c r="G211" s="15">
        <v>2020.0</v>
      </c>
    </row>
    <row r="212" ht="15.75" customHeight="1">
      <c r="A212" s="15" t="s">
        <v>325</v>
      </c>
      <c r="B212" s="15">
        <v>1.0</v>
      </c>
      <c r="C212" s="15">
        <v>1.0</v>
      </c>
      <c r="D212" s="15">
        <v>0.125</v>
      </c>
      <c r="E212" s="15">
        <v>2.0</v>
      </c>
      <c r="F212" s="15">
        <v>1.0</v>
      </c>
      <c r="G212" s="15">
        <v>2017.0</v>
      </c>
    </row>
    <row r="213" ht="15.75" customHeight="1">
      <c r="A213" s="15" t="s">
        <v>326</v>
      </c>
      <c r="B213" s="15">
        <v>1.0</v>
      </c>
      <c r="C213" s="15">
        <v>1.0</v>
      </c>
      <c r="D213" s="15">
        <v>0.25</v>
      </c>
      <c r="E213" s="15">
        <v>3.0</v>
      </c>
      <c r="F213" s="15">
        <v>1.0</v>
      </c>
      <c r="G213" s="15">
        <v>2021.0</v>
      </c>
    </row>
    <row r="214" ht="15.75" customHeight="1">
      <c r="A214" s="15" t="s">
        <v>327</v>
      </c>
      <c r="B214" s="15">
        <v>1.0</v>
      </c>
      <c r="C214" s="15">
        <v>1.0</v>
      </c>
      <c r="D214" s="15">
        <v>0.5</v>
      </c>
      <c r="E214" s="15">
        <v>5.0</v>
      </c>
      <c r="F214" s="15">
        <v>1.0</v>
      </c>
      <c r="G214" s="15">
        <v>2023.0</v>
      </c>
    </row>
    <row r="215" ht="15.75" customHeight="1">
      <c r="A215" s="15" t="s">
        <v>328</v>
      </c>
      <c r="B215" s="15">
        <v>1.0</v>
      </c>
      <c r="C215" s="15">
        <v>1.0</v>
      </c>
      <c r="D215" s="15">
        <v>0.0625</v>
      </c>
      <c r="E215" s="15">
        <v>13.0</v>
      </c>
      <c r="F215" s="15">
        <v>1.0</v>
      </c>
      <c r="G215" s="15">
        <v>2009.0</v>
      </c>
    </row>
    <row r="216" ht="15.75" customHeight="1">
      <c r="A216" s="15" t="s">
        <v>329</v>
      </c>
      <c r="B216" s="15">
        <v>1.0</v>
      </c>
      <c r="C216" s="15">
        <v>1.0</v>
      </c>
      <c r="D216" s="15">
        <v>0.2</v>
      </c>
      <c r="E216" s="15">
        <v>11.0</v>
      </c>
      <c r="F216" s="15">
        <v>1.0</v>
      </c>
      <c r="G216" s="15">
        <v>2020.0</v>
      </c>
    </row>
    <row r="217" ht="15.75" customHeight="1">
      <c r="A217" s="15" t="s">
        <v>330</v>
      </c>
      <c r="B217" s="15">
        <v>1.0</v>
      </c>
      <c r="C217" s="15">
        <v>1.0</v>
      </c>
      <c r="D217" s="15">
        <v>0.166666666666667</v>
      </c>
      <c r="E217" s="15">
        <v>15.0</v>
      </c>
      <c r="F217" s="15">
        <v>1.0</v>
      </c>
      <c r="G217" s="15">
        <v>2019.0</v>
      </c>
    </row>
    <row r="218" ht="15.75" customHeight="1">
      <c r="A218" s="15" t="s">
        <v>331</v>
      </c>
      <c r="B218" s="15">
        <v>1.0</v>
      </c>
      <c r="C218" s="15">
        <v>1.0</v>
      </c>
      <c r="D218" s="15">
        <v>0.333333333333333</v>
      </c>
      <c r="E218" s="15">
        <v>32.0</v>
      </c>
      <c r="F218" s="15">
        <v>1.0</v>
      </c>
      <c r="G218" s="15">
        <v>2022.0</v>
      </c>
    </row>
    <row r="219" ht="15.75" customHeight="1">
      <c r="A219" s="15" t="s">
        <v>332</v>
      </c>
      <c r="B219" s="15">
        <v>1.0</v>
      </c>
      <c r="C219" s="15">
        <v>1.0</v>
      </c>
      <c r="D219" s="15">
        <v>0.2</v>
      </c>
      <c r="E219" s="15">
        <v>29.0</v>
      </c>
      <c r="F219" s="15">
        <v>1.0</v>
      </c>
      <c r="G219" s="15">
        <v>2020.0</v>
      </c>
    </row>
    <row r="220" ht="15.75" customHeight="1">
      <c r="A220" s="15" t="s">
        <v>333</v>
      </c>
      <c r="B220" s="15">
        <v>1.0</v>
      </c>
      <c r="C220" s="15">
        <v>1.0</v>
      </c>
      <c r="D220" s="15">
        <v>0.2</v>
      </c>
      <c r="E220" s="15">
        <v>14.0</v>
      </c>
      <c r="F220" s="15">
        <v>1.0</v>
      </c>
      <c r="G220" s="15">
        <v>2020.0</v>
      </c>
    </row>
    <row r="221" ht="15.75" customHeight="1">
      <c r="A221" s="15" t="s">
        <v>334</v>
      </c>
      <c r="B221" s="15">
        <v>1.0</v>
      </c>
      <c r="C221" s="15">
        <v>1.0</v>
      </c>
      <c r="D221" s="15">
        <v>0.0625</v>
      </c>
      <c r="E221" s="15">
        <v>5.0</v>
      </c>
      <c r="F221" s="15">
        <v>1.0</v>
      </c>
      <c r="G221" s="15">
        <v>2009.0</v>
      </c>
    </row>
    <row r="222" ht="15.75" customHeight="1">
      <c r="A222" s="15" t="s">
        <v>335</v>
      </c>
      <c r="B222" s="15">
        <v>1.0</v>
      </c>
      <c r="C222" s="15">
        <v>1.0</v>
      </c>
      <c r="D222" s="15">
        <v>0.166666666666667</v>
      </c>
      <c r="E222" s="15">
        <v>5.0</v>
      </c>
      <c r="F222" s="15">
        <v>1.0</v>
      </c>
      <c r="G222" s="15">
        <v>2019.0</v>
      </c>
    </row>
    <row r="223" ht="15.75" customHeight="1">
      <c r="A223" s="15" t="s">
        <v>336</v>
      </c>
      <c r="B223" s="15">
        <v>1.0</v>
      </c>
      <c r="C223" s="15">
        <v>1.0</v>
      </c>
      <c r="D223" s="15">
        <v>0.333333333333333</v>
      </c>
      <c r="E223" s="15">
        <v>1.0</v>
      </c>
      <c r="F223" s="15">
        <v>1.0</v>
      </c>
      <c r="G223" s="15">
        <v>2022.0</v>
      </c>
    </row>
    <row r="224" ht="15.75" customHeight="1">
      <c r="A224" s="15" t="s">
        <v>337</v>
      </c>
      <c r="B224" s="15">
        <v>1.0</v>
      </c>
      <c r="C224" s="15">
        <v>1.0</v>
      </c>
      <c r="D224" s="15">
        <v>0.5</v>
      </c>
      <c r="E224" s="15">
        <v>13.0</v>
      </c>
      <c r="F224" s="15">
        <v>1.0</v>
      </c>
      <c r="G224" s="15">
        <v>2023.0</v>
      </c>
    </row>
    <row r="225" ht="15.75" customHeight="1">
      <c r="A225" s="15" t="s">
        <v>338</v>
      </c>
      <c r="B225" s="15">
        <v>1.0</v>
      </c>
      <c r="C225" s="15">
        <v>1.0</v>
      </c>
      <c r="D225" s="15">
        <v>0.333333333333333</v>
      </c>
      <c r="E225" s="15">
        <v>1.0</v>
      </c>
      <c r="F225" s="15">
        <v>1.0</v>
      </c>
      <c r="G225" s="15">
        <v>2022.0</v>
      </c>
    </row>
    <row r="226" ht="15.75" customHeight="1">
      <c r="A226" s="15" t="s">
        <v>339</v>
      </c>
      <c r="B226" s="15">
        <v>1.0</v>
      </c>
      <c r="C226" s="15">
        <v>1.0</v>
      </c>
      <c r="D226" s="15">
        <v>0.142857142857143</v>
      </c>
      <c r="E226" s="15">
        <v>6.0</v>
      </c>
      <c r="F226" s="15">
        <v>1.0</v>
      </c>
      <c r="G226" s="15">
        <v>2018.0</v>
      </c>
    </row>
    <row r="227" ht="15.75" customHeight="1">
      <c r="A227" s="15"/>
      <c r="B227" s="15"/>
      <c r="C227" s="15"/>
      <c r="D227" s="15"/>
      <c r="E227" s="15"/>
      <c r="F227" s="15"/>
      <c r="G227" s="15"/>
    </row>
    <row r="228" ht="15.75" customHeight="1">
      <c r="A228" s="15"/>
      <c r="B228" s="15"/>
      <c r="C228" s="15"/>
      <c r="D228" s="15"/>
      <c r="E228" s="15"/>
      <c r="F228" s="15"/>
      <c r="G228" s="15"/>
    </row>
    <row r="229" ht="15.75" customHeight="1">
      <c r="A229" s="15"/>
      <c r="B229" s="15"/>
      <c r="C229" s="15"/>
      <c r="D229" s="15"/>
      <c r="E229" s="15"/>
      <c r="F229" s="15"/>
      <c r="G229" s="15"/>
    </row>
    <row r="230" ht="15.75" customHeight="1">
      <c r="A230" s="15"/>
      <c r="B230" s="15"/>
      <c r="C230" s="15"/>
      <c r="D230" s="15"/>
      <c r="E230" s="15"/>
      <c r="F230" s="15"/>
      <c r="G230" s="15"/>
    </row>
    <row r="231" ht="15.75" customHeight="1">
      <c r="A231" s="15"/>
      <c r="B231" s="15"/>
      <c r="C231" s="15"/>
      <c r="D231" s="15"/>
      <c r="E231" s="15"/>
      <c r="F231" s="15"/>
      <c r="G231" s="15"/>
    </row>
    <row r="232" ht="15.75" customHeight="1">
      <c r="A232" s="15"/>
      <c r="B232" s="15"/>
      <c r="C232" s="15"/>
      <c r="D232" s="15"/>
      <c r="E232" s="15"/>
      <c r="F232" s="15"/>
      <c r="G232" s="15"/>
    </row>
    <row r="233" ht="15.75" customHeight="1">
      <c r="A233" s="15"/>
      <c r="B233" s="15"/>
      <c r="C233" s="15"/>
      <c r="D233" s="15"/>
      <c r="E233" s="15"/>
      <c r="F233" s="15"/>
      <c r="G233" s="15"/>
    </row>
    <row r="234" ht="15.75" customHeight="1">
      <c r="A234" s="15"/>
      <c r="B234" s="15"/>
      <c r="C234" s="15"/>
      <c r="D234" s="15"/>
      <c r="E234" s="15"/>
      <c r="F234" s="15"/>
      <c r="G234" s="15"/>
    </row>
    <row r="235" ht="15.75" customHeight="1">
      <c r="A235" s="15"/>
      <c r="B235" s="15"/>
      <c r="C235" s="15"/>
      <c r="D235" s="15"/>
      <c r="E235" s="15"/>
      <c r="F235" s="15"/>
      <c r="G235" s="15"/>
    </row>
    <row r="236" ht="15.75" customHeight="1">
      <c r="A236" s="15"/>
      <c r="B236" s="15"/>
      <c r="C236" s="15"/>
      <c r="D236" s="15"/>
      <c r="E236" s="15"/>
      <c r="F236" s="15"/>
      <c r="G236" s="15"/>
    </row>
    <row r="237" ht="15.75" customHeight="1">
      <c r="A237" s="15"/>
      <c r="B237" s="15"/>
      <c r="C237" s="15"/>
      <c r="D237" s="15"/>
      <c r="E237" s="15"/>
      <c r="F237" s="15"/>
      <c r="G237" s="15"/>
    </row>
    <row r="238" ht="15.75" customHeight="1">
      <c r="A238" s="15"/>
      <c r="B238" s="15"/>
      <c r="C238" s="15"/>
      <c r="D238" s="15"/>
      <c r="E238" s="15"/>
      <c r="F238" s="15"/>
      <c r="G238" s="15"/>
    </row>
    <row r="239" ht="15.75" customHeight="1">
      <c r="A239" s="15"/>
      <c r="B239" s="15"/>
      <c r="C239" s="15"/>
      <c r="D239" s="15"/>
      <c r="E239" s="15"/>
      <c r="F239" s="15"/>
      <c r="G239" s="15"/>
    </row>
    <row r="240" ht="15.75" customHeight="1">
      <c r="A240" s="15"/>
      <c r="B240" s="15"/>
      <c r="C240" s="15"/>
      <c r="D240" s="15"/>
      <c r="E240" s="15"/>
      <c r="F240" s="15"/>
      <c r="G240" s="15"/>
    </row>
    <row r="241" ht="15.75" customHeight="1">
      <c r="A241" s="15"/>
      <c r="B241" s="15"/>
      <c r="C241" s="15"/>
      <c r="D241" s="15"/>
      <c r="E241" s="15"/>
      <c r="F241" s="15"/>
      <c r="G241" s="15"/>
    </row>
    <row r="242" ht="15.75" customHeight="1">
      <c r="A242" s="15"/>
      <c r="B242" s="15"/>
      <c r="C242" s="15"/>
      <c r="D242" s="15"/>
      <c r="E242" s="15"/>
      <c r="F242" s="15"/>
      <c r="G242" s="15"/>
    </row>
    <row r="243" ht="15.75" customHeight="1">
      <c r="A243" s="15"/>
      <c r="B243" s="15"/>
      <c r="C243" s="15"/>
      <c r="D243" s="15"/>
      <c r="E243" s="15"/>
      <c r="F243" s="15"/>
      <c r="G243" s="15"/>
    </row>
    <row r="244" ht="15.75" customHeight="1">
      <c r="A244" s="15"/>
      <c r="B244" s="15"/>
      <c r="C244" s="15"/>
      <c r="D244" s="15"/>
      <c r="E244" s="15"/>
      <c r="F244" s="15"/>
      <c r="G244" s="15"/>
    </row>
    <row r="245" ht="15.75" customHeight="1">
      <c r="A245" s="15"/>
      <c r="B245" s="15"/>
      <c r="C245" s="15"/>
      <c r="D245" s="15"/>
      <c r="E245" s="15"/>
      <c r="F245" s="15"/>
      <c r="G245" s="15"/>
    </row>
    <row r="246" ht="15.75" customHeight="1">
      <c r="A246" s="15"/>
      <c r="B246" s="15"/>
      <c r="C246" s="15"/>
      <c r="D246" s="15"/>
      <c r="E246" s="15"/>
      <c r="F246" s="15"/>
      <c r="G246" s="15"/>
    </row>
    <row r="247" ht="15.75" customHeight="1">
      <c r="A247" s="15"/>
      <c r="B247" s="15"/>
      <c r="C247" s="15"/>
      <c r="D247" s="15"/>
      <c r="E247" s="15"/>
      <c r="F247" s="15"/>
      <c r="G247" s="15"/>
    </row>
    <row r="248" ht="15.75" customHeight="1">
      <c r="A248" s="15"/>
      <c r="B248" s="15"/>
      <c r="C248" s="15"/>
      <c r="D248" s="15"/>
      <c r="E248" s="15"/>
      <c r="F248" s="15"/>
      <c r="G248" s="15"/>
    </row>
    <row r="249" ht="15.75" customHeight="1">
      <c r="A249" s="15"/>
      <c r="B249" s="15"/>
      <c r="C249" s="15"/>
      <c r="D249" s="15"/>
      <c r="E249" s="15"/>
      <c r="F249" s="15"/>
      <c r="G249" s="15"/>
    </row>
    <row r="250" ht="15.75" customHeight="1">
      <c r="A250" s="15"/>
      <c r="B250" s="15"/>
      <c r="C250" s="15"/>
      <c r="D250" s="15"/>
      <c r="E250" s="15"/>
      <c r="F250" s="15"/>
      <c r="G250" s="15"/>
    </row>
    <row r="251" ht="15.75" customHeight="1">
      <c r="A251" s="15"/>
      <c r="B251" s="15"/>
      <c r="C251" s="15"/>
      <c r="D251" s="15"/>
      <c r="E251" s="15"/>
      <c r="F251" s="15"/>
      <c r="G251" s="15"/>
    </row>
    <row r="252" ht="15.75" customHeight="1">
      <c r="A252" s="15"/>
      <c r="B252" s="15"/>
      <c r="C252" s="15"/>
      <c r="D252" s="15"/>
      <c r="E252" s="15"/>
      <c r="F252" s="15"/>
      <c r="G252" s="15"/>
    </row>
    <row r="253" ht="15.75" customHeight="1">
      <c r="A253" s="15"/>
      <c r="B253" s="15"/>
      <c r="C253" s="15"/>
      <c r="D253" s="15"/>
      <c r="E253" s="15"/>
      <c r="F253" s="15"/>
      <c r="G253" s="15"/>
    </row>
    <row r="254" ht="15.75" customHeight="1">
      <c r="A254" s="15"/>
      <c r="B254" s="15"/>
      <c r="C254" s="15"/>
      <c r="D254" s="15"/>
      <c r="E254" s="15"/>
      <c r="F254" s="15"/>
      <c r="G254" s="15"/>
    </row>
    <row r="255" ht="15.75" customHeight="1">
      <c r="A255" s="15"/>
      <c r="B255" s="15"/>
      <c r="C255" s="15"/>
      <c r="D255" s="15"/>
      <c r="E255" s="15"/>
      <c r="F255" s="15"/>
      <c r="G255" s="15"/>
    </row>
    <row r="256" ht="15.75" customHeight="1">
      <c r="A256" s="15"/>
      <c r="B256" s="15"/>
      <c r="C256" s="15"/>
      <c r="D256" s="15"/>
      <c r="E256" s="15"/>
      <c r="F256" s="15"/>
      <c r="G256" s="15"/>
    </row>
    <row r="257" ht="15.75" customHeight="1">
      <c r="A257" s="15"/>
      <c r="B257" s="15"/>
      <c r="C257" s="15"/>
      <c r="D257" s="15"/>
      <c r="E257" s="15"/>
      <c r="F257" s="15"/>
      <c r="G257" s="15"/>
    </row>
    <row r="258" ht="15.75" customHeight="1">
      <c r="A258" s="15"/>
      <c r="B258" s="15"/>
      <c r="C258" s="15"/>
      <c r="D258" s="15"/>
      <c r="E258" s="15"/>
      <c r="F258" s="15"/>
      <c r="G258" s="15"/>
    </row>
    <row r="259" ht="15.75" customHeight="1">
      <c r="A259" s="15"/>
      <c r="B259" s="15"/>
      <c r="C259" s="15"/>
      <c r="D259" s="15"/>
      <c r="E259" s="15"/>
      <c r="F259" s="15"/>
      <c r="G259" s="15"/>
    </row>
    <row r="260" ht="15.75" customHeight="1">
      <c r="A260" s="15"/>
      <c r="B260" s="15"/>
      <c r="C260" s="15"/>
      <c r="D260" s="15"/>
      <c r="E260" s="15"/>
      <c r="F260" s="15"/>
      <c r="G260" s="15"/>
    </row>
    <row r="261" ht="15.75" customHeight="1">
      <c r="A261" s="15"/>
      <c r="B261" s="15"/>
      <c r="C261" s="15"/>
      <c r="D261" s="15"/>
      <c r="E261" s="15"/>
      <c r="F261" s="15"/>
      <c r="G261" s="15"/>
    </row>
    <row r="262" ht="15.75" customHeight="1">
      <c r="A262" s="15"/>
      <c r="B262" s="15"/>
      <c r="C262" s="15"/>
      <c r="D262" s="15"/>
      <c r="E262" s="15"/>
      <c r="F262" s="15"/>
      <c r="G262" s="15"/>
    </row>
    <row r="263" ht="15.75" customHeight="1">
      <c r="A263" s="15"/>
      <c r="B263" s="15"/>
      <c r="C263" s="15"/>
      <c r="D263" s="15"/>
      <c r="E263" s="15"/>
      <c r="F263" s="15"/>
      <c r="G263" s="15"/>
    </row>
    <row r="264" ht="15.75" customHeight="1">
      <c r="A264" s="15"/>
      <c r="B264" s="15"/>
      <c r="C264" s="15"/>
      <c r="D264" s="15"/>
      <c r="E264" s="15"/>
      <c r="F264" s="15"/>
      <c r="G264" s="15"/>
    </row>
    <row r="265" ht="15.75" customHeight="1">
      <c r="A265" s="15"/>
      <c r="B265" s="15"/>
      <c r="C265" s="15"/>
      <c r="D265" s="15"/>
      <c r="E265" s="15"/>
      <c r="F265" s="15"/>
      <c r="G265" s="15"/>
    </row>
    <row r="266" ht="15.75" customHeight="1">
      <c r="A266" s="15"/>
      <c r="B266" s="15"/>
      <c r="C266" s="15"/>
      <c r="D266" s="15"/>
      <c r="E266" s="15"/>
      <c r="F266" s="15"/>
      <c r="G266" s="15"/>
    </row>
    <row r="267" ht="15.75" customHeight="1">
      <c r="A267" s="15"/>
      <c r="B267" s="15"/>
      <c r="C267" s="15"/>
      <c r="D267" s="15"/>
      <c r="E267" s="15"/>
      <c r="F267" s="15"/>
      <c r="G267" s="15"/>
    </row>
    <row r="268" ht="15.75" customHeight="1">
      <c r="A268" s="15"/>
      <c r="B268" s="15"/>
      <c r="C268" s="15"/>
      <c r="D268" s="15"/>
      <c r="E268" s="15"/>
      <c r="F268" s="15"/>
      <c r="G268" s="15"/>
    </row>
    <row r="269" ht="15.75" customHeight="1">
      <c r="A269" s="15"/>
      <c r="B269" s="15"/>
      <c r="C269" s="15"/>
      <c r="D269" s="15"/>
      <c r="E269" s="15"/>
      <c r="F269" s="15"/>
      <c r="G269" s="15"/>
    </row>
    <row r="270" ht="15.75" customHeight="1">
      <c r="A270" s="15"/>
      <c r="B270" s="15"/>
      <c r="C270" s="15"/>
      <c r="D270" s="15"/>
      <c r="E270" s="15"/>
      <c r="F270" s="15"/>
      <c r="G270" s="15"/>
    </row>
    <row r="271" ht="15.75" customHeight="1">
      <c r="A271" s="15"/>
      <c r="B271" s="15"/>
      <c r="C271" s="15"/>
      <c r="D271" s="15"/>
      <c r="E271" s="15"/>
      <c r="F271" s="15"/>
      <c r="G271" s="15"/>
    </row>
    <row r="272" ht="15.75" customHeight="1">
      <c r="A272" s="15"/>
      <c r="B272" s="15"/>
      <c r="C272" s="15"/>
      <c r="D272" s="15"/>
      <c r="E272" s="15"/>
      <c r="F272" s="15"/>
      <c r="G272" s="15"/>
    </row>
    <row r="273" ht="15.75" customHeight="1">
      <c r="A273" s="15"/>
      <c r="B273" s="15"/>
      <c r="C273" s="15"/>
      <c r="D273" s="15"/>
      <c r="E273" s="15"/>
      <c r="F273" s="15"/>
      <c r="G273" s="15"/>
    </row>
    <row r="274" ht="15.75" customHeight="1">
      <c r="A274" s="15"/>
      <c r="B274" s="15"/>
      <c r="C274" s="15"/>
      <c r="D274" s="15"/>
      <c r="E274" s="15"/>
      <c r="F274" s="15"/>
      <c r="G274" s="15"/>
    </row>
    <row r="275" ht="15.75" customHeight="1">
      <c r="A275" s="15"/>
      <c r="B275" s="15"/>
      <c r="C275" s="15"/>
      <c r="D275" s="15"/>
      <c r="E275" s="15"/>
      <c r="F275" s="15"/>
      <c r="G275" s="15"/>
    </row>
    <row r="276" ht="15.75" customHeight="1">
      <c r="A276" s="15"/>
      <c r="B276" s="15"/>
      <c r="C276" s="15"/>
      <c r="D276" s="15"/>
      <c r="E276" s="15"/>
      <c r="F276" s="15"/>
      <c r="G276" s="15"/>
    </row>
    <row r="277" ht="15.75" customHeight="1">
      <c r="A277" s="15"/>
      <c r="B277" s="15"/>
      <c r="C277" s="15"/>
      <c r="D277" s="15"/>
      <c r="E277" s="15"/>
      <c r="F277" s="15"/>
      <c r="G277" s="15"/>
    </row>
    <row r="278" ht="15.75" customHeight="1">
      <c r="A278" s="15"/>
      <c r="B278" s="15"/>
      <c r="C278" s="15"/>
      <c r="D278" s="15"/>
      <c r="E278" s="15"/>
      <c r="F278" s="15"/>
      <c r="G278" s="15"/>
    </row>
    <row r="279" ht="15.75" customHeight="1">
      <c r="A279" s="15"/>
      <c r="B279" s="15"/>
      <c r="C279" s="15"/>
      <c r="D279" s="15"/>
      <c r="E279" s="15"/>
      <c r="F279" s="15"/>
      <c r="G279" s="15"/>
    </row>
    <row r="280" ht="15.75" customHeight="1">
      <c r="A280" s="15"/>
      <c r="B280" s="15"/>
      <c r="C280" s="15"/>
      <c r="D280" s="15"/>
      <c r="E280" s="15"/>
      <c r="F280" s="15"/>
      <c r="G280" s="15"/>
    </row>
    <row r="281" ht="15.75" customHeight="1">
      <c r="A281" s="15"/>
      <c r="B281" s="15"/>
      <c r="C281" s="15"/>
      <c r="D281" s="15"/>
      <c r="E281" s="15"/>
      <c r="F281" s="15"/>
      <c r="G281" s="15"/>
    </row>
    <row r="282" ht="15.75" customHeight="1">
      <c r="A282" s="15"/>
      <c r="B282" s="15"/>
      <c r="C282" s="15"/>
      <c r="D282" s="15"/>
      <c r="E282" s="15"/>
      <c r="F282" s="15"/>
      <c r="G282" s="15"/>
    </row>
    <row r="283" ht="15.75" customHeight="1">
      <c r="A283" s="15"/>
      <c r="B283" s="15"/>
      <c r="C283" s="15"/>
      <c r="D283" s="15"/>
      <c r="E283" s="15"/>
      <c r="F283" s="15"/>
      <c r="G283" s="15"/>
    </row>
    <row r="284" ht="15.75" customHeight="1">
      <c r="A284" s="15"/>
      <c r="B284" s="15"/>
      <c r="C284" s="15"/>
      <c r="D284" s="15"/>
      <c r="E284" s="15"/>
      <c r="F284" s="15"/>
      <c r="G284" s="15"/>
    </row>
    <row r="285" ht="15.75" customHeight="1">
      <c r="A285" s="15"/>
      <c r="B285" s="15"/>
      <c r="C285" s="15"/>
      <c r="D285" s="15"/>
      <c r="E285" s="15"/>
      <c r="F285" s="15"/>
      <c r="G285" s="15"/>
    </row>
    <row r="286" ht="15.75" customHeight="1">
      <c r="A286" s="15"/>
      <c r="B286" s="15"/>
      <c r="C286" s="15"/>
      <c r="D286" s="15"/>
      <c r="E286" s="15"/>
      <c r="F286" s="15"/>
      <c r="G286" s="15"/>
    </row>
    <row r="287" ht="15.75" customHeight="1">
      <c r="A287" s="15"/>
      <c r="B287" s="15"/>
      <c r="C287" s="15"/>
      <c r="D287" s="15"/>
      <c r="E287" s="15"/>
      <c r="F287" s="15"/>
      <c r="G287" s="15"/>
    </row>
    <row r="288" ht="15.75" customHeight="1">
      <c r="A288" s="15"/>
      <c r="B288" s="15"/>
      <c r="C288" s="15"/>
      <c r="D288" s="15"/>
      <c r="E288" s="15"/>
      <c r="F288" s="15"/>
      <c r="G288" s="15"/>
    </row>
    <row r="289" ht="15.75" customHeight="1">
      <c r="A289" s="15"/>
      <c r="B289" s="15"/>
      <c r="C289" s="15"/>
      <c r="D289" s="15"/>
      <c r="E289" s="15"/>
      <c r="F289" s="15"/>
      <c r="G289" s="15"/>
    </row>
    <row r="290" ht="15.75" customHeight="1">
      <c r="A290" s="15"/>
      <c r="B290" s="15"/>
      <c r="C290" s="15"/>
      <c r="D290" s="15"/>
      <c r="E290" s="15"/>
      <c r="F290" s="15"/>
      <c r="G290" s="15"/>
    </row>
    <row r="291" ht="15.75" customHeight="1">
      <c r="A291" s="15"/>
      <c r="B291" s="15"/>
      <c r="C291" s="15"/>
      <c r="D291" s="15"/>
      <c r="E291" s="15"/>
      <c r="F291" s="15"/>
      <c r="G291" s="15"/>
    </row>
    <row r="292" ht="15.75" customHeight="1">
      <c r="A292" s="15"/>
      <c r="B292" s="15"/>
      <c r="C292" s="15"/>
      <c r="D292" s="15"/>
      <c r="E292" s="15"/>
      <c r="F292" s="15"/>
      <c r="G292" s="15"/>
    </row>
    <row r="293" ht="15.75" customHeight="1">
      <c r="A293" s="15"/>
      <c r="B293" s="15"/>
      <c r="C293" s="15"/>
      <c r="D293" s="15"/>
      <c r="E293" s="15"/>
      <c r="F293" s="15"/>
      <c r="G293" s="15"/>
    </row>
    <row r="294" ht="15.75" customHeight="1">
      <c r="A294" s="15"/>
      <c r="B294" s="15"/>
      <c r="C294" s="15"/>
      <c r="D294" s="15"/>
      <c r="E294" s="15"/>
      <c r="F294" s="15"/>
      <c r="G294" s="15"/>
    </row>
    <row r="295" ht="15.75" customHeight="1">
      <c r="A295" s="15"/>
      <c r="B295" s="15"/>
      <c r="C295" s="15"/>
      <c r="D295" s="15"/>
      <c r="E295" s="15"/>
      <c r="F295" s="15"/>
      <c r="G295" s="15"/>
    </row>
    <row r="296" ht="15.75" customHeight="1">
      <c r="A296" s="15"/>
      <c r="B296" s="15"/>
      <c r="C296" s="15"/>
      <c r="D296" s="15"/>
      <c r="E296" s="15"/>
      <c r="F296" s="15"/>
      <c r="G296" s="15"/>
    </row>
    <row r="297" ht="15.75" customHeight="1">
      <c r="A297" s="15"/>
      <c r="B297" s="15"/>
      <c r="C297" s="15"/>
      <c r="D297" s="15"/>
      <c r="E297" s="15"/>
      <c r="F297" s="15"/>
      <c r="G297" s="15"/>
    </row>
    <row r="298" ht="15.75" customHeight="1">
      <c r="A298" s="15"/>
      <c r="B298" s="15"/>
      <c r="C298" s="15"/>
      <c r="D298" s="15"/>
      <c r="E298" s="15"/>
      <c r="F298" s="15"/>
      <c r="G298" s="15"/>
    </row>
    <row r="299" ht="15.75" customHeight="1">
      <c r="A299" s="15"/>
      <c r="B299" s="15"/>
      <c r="C299" s="15"/>
      <c r="D299" s="15"/>
      <c r="E299" s="15"/>
      <c r="F299" s="15"/>
      <c r="G299" s="15"/>
    </row>
    <row r="300" ht="15.75" customHeight="1">
      <c r="A300" s="15"/>
      <c r="B300" s="15"/>
      <c r="C300" s="15"/>
      <c r="D300" s="15"/>
      <c r="E300" s="15"/>
      <c r="F300" s="15"/>
      <c r="G300" s="15"/>
    </row>
    <row r="301" ht="15.75" customHeight="1">
      <c r="A301" s="15"/>
      <c r="B301" s="15"/>
      <c r="C301" s="15"/>
      <c r="D301" s="15"/>
      <c r="E301" s="15"/>
      <c r="F301" s="15"/>
      <c r="G301" s="15"/>
    </row>
    <row r="302" ht="15.75" customHeight="1">
      <c r="A302" s="15"/>
      <c r="B302" s="15"/>
      <c r="C302" s="15"/>
      <c r="D302" s="15"/>
      <c r="E302" s="15"/>
      <c r="F302" s="15"/>
      <c r="G302" s="15"/>
    </row>
    <row r="303" ht="15.75" customHeight="1">
      <c r="A303" s="15"/>
      <c r="B303" s="15"/>
      <c r="C303" s="15"/>
      <c r="D303" s="15"/>
      <c r="E303" s="15"/>
      <c r="F303" s="15"/>
      <c r="G303" s="15"/>
    </row>
    <row r="304" ht="15.75" customHeight="1">
      <c r="A304" s="15"/>
      <c r="B304" s="15"/>
      <c r="C304" s="15"/>
      <c r="D304" s="15"/>
      <c r="E304" s="15"/>
      <c r="F304" s="15"/>
      <c r="G304" s="15"/>
    </row>
    <row r="305" ht="15.75" customHeight="1">
      <c r="A305" s="15"/>
      <c r="B305" s="15"/>
      <c r="C305" s="15"/>
      <c r="D305" s="15"/>
      <c r="E305" s="15"/>
      <c r="F305" s="15"/>
      <c r="G305" s="15"/>
    </row>
    <row r="306" ht="15.75" customHeight="1">
      <c r="A306" s="15"/>
      <c r="B306" s="15"/>
      <c r="C306" s="15"/>
      <c r="D306" s="15"/>
      <c r="E306" s="15"/>
      <c r="F306" s="15"/>
      <c r="G306" s="15"/>
    </row>
    <row r="307" ht="15.75" customHeight="1">
      <c r="A307" s="15"/>
      <c r="B307" s="15"/>
      <c r="C307" s="15"/>
      <c r="D307" s="15"/>
      <c r="E307" s="15"/>
      <c r="F307" s="15"/>
      <c r="G307" s="15"/>
    </row>
    <row r="308" ht="15.75" customHeight="1">
      <c r="A308" s="15"/>
      <c r="B308" s="15"/>
      <c r="C308" s="15"/>
      <c r="D308" s="15"/>
      <c r="E308" s="15"/>
      <c r="F308" s="15"/>
      <c r="G308" s="15"/>
    </row>
    <row r="309" ht="15.75" customHeight="1">
      <c r="A309" s="15"/>
      <c r="B309" s="15"/>
      <c r="C309" s="15"/>
      <c r="D309" s="15"/>
      <c r="E309" s="15"/>
      <c r="F309" s="15"/>
      <c r="G309" s="15"/>
    </row>
    <row r="310" ht="15.75" customHeight="1">
      <c r="A310" s="15"/>
      <c r="B310" s="15"/>
      <c r="C310" s="15"/>
      <c r="D310" s="15"/>
      <c r="E310" s="15"/>
      <c r="F310" s="15"/>
      <c r="G310" s="15"/>
    </row>
    <row r="311" ht="15.75" customHeight="1">
      <c r="A311" s="15"/>
      <c r="B311" s="15"/>
      <c r="C311" s="15"/>
      <c r="D311" s="15"/>
      <c r="E311" s="15"/>
      <c r="F311" s="15"/>
      <c r="G311" s="15"/>
    </row>
    <row r="312" ht="15.75" customHeight="1">
      <c r="A312" s="15"/>
      <c r="B312" s="15"/>
      <c r="C312" s="15"/>
      <c r="D312" s="15"/>
      <c r="E312" s="15"/>
      <c r="F312" s="15"/>
      <c r="G312" s="15"/>
    </row>
    <row r="313" ht="15.75" customHeight="1">
      <c r="A313" s="15"/>
      <c r="B313" s="15"/>
      <c r="C313" s="15"/>
      <c r="D313" s="15"/>
      <c r="E313" s="15"/>
      <c r="F313" s="15"/>
      <c r="G313" s="15"/>
    </row>
    <row r="314" ht="15.75" customHeight="1">
      <c r="A314" s="15"/>
      <c r="B314" s="15"/>
      <c r="C314" s="15"/>
      <c r="D314" s="15"/>
      <c r="E314" s="15"/>
      <c r="F314" s="15"/>
      <c r="G314" s="15"/>
    </row>
    <row r="315" ht="15.75" customHeight="1">
      <c r="A315" s="15"/>
      <c r="B315" s="15"/>
      <c r="C315" s="15"/>
      <c r="D315" s="15"/>
      <c r="E315" s="15"/>
      <c r="F315" s="15"/>
      <c r="G315" s="15"/>
    </row>
    <row r="316" ht="15.75" customHeight="1">
      <c r="A316" s="15"/>
      <c r="B316" s="15"/>
      <c r="C316" s="15"/>
      <c r="D316" s="15"/>
      <c r="E316" s="15"/>
      <c r="F316" s="15"/>
      <c r="G316" s="15"/>
    </row>
    <row r="317" ht="15.75" customHeight="1">
      <c r="A317" s="15"/>
      <c r="B317" s="15"/>
      <c r="C317" s="15"/>
      <c r="D317" s="15"/>
      <c r="E317" s="15"/>
      <c r="F317" s="15"/>
      <c r="G317" s="15"/>
    </row>
    <row r="318" ht="15.75" customHeight="1">
      <c r="A318" s="15"/>
      <c r="B318" s="15"/>
      <c r="C318" s="15"/>
      <c r="D318" s="15"/>
      <c r="E318" s="15"/>
      <c r="F318" s="15"/>
      <c r="G318" s="15"/>
    </row>
    <row r="319" ht="15.75" customHeight="1">
      <c r="A319" s="15"/>
      <c r="B319" s="15"/>
      <c r="C319" s="15"/>
      <c r="D319" s="15"/>
      <c r="E319" s="15"/>
      <c r="F319" s="15"/>
      <c r="G319" s="15"/>
    </row>
    <row r="320" ht="15.75" customHeight="1">
      <c r="A320" s="15"/>
      <c r="B320" s="15"/>
      <c r="C320" s="15"/>
      <c r="D320" s="15"/>
      <c r="E320" s="15"/>
      <c r="F320" s="15"/>
      <c r="G320" s="15"/>
    </row>
    <row r="321" ht="15.75" customHeight="1">
      <c r="A321" s="15"/>
      <c r="B321" s="15"/>
      <c r="C321" s="15"/>
      <c r="D321" s="15"/>
      <c r="E321" s="15"/>
      <c r="F321" s="15"/>
      <c r="G321" s="15"/>
    </row>
    <row r="322" ht="15.75" customHeight="1">
      <c r="A322" s="15"/>
      <c r="B322" s="15"/>
      <c r="C322" s="15"/>
      <c r="D322" s="15"/>
      <c r="E322" s="15"/>
      <c r="F322" s="15"/>
      <c r="G322" s="15"/>
    </row>
    <row r="323" ht="15.75" customHeight="1">
      <c r="A323" s="15"/>
      <c r="B323" s="15"/>
      <c r="C323" s="15"/>
      <c r="D323" s="15"/>
      <c r="E323" s="15"/>
      <c r="F323" s="15"/>
      <c r="G323" s="15"/>
    </row>
    <row r="324" ht="15.75" customHeight="1">
      <c r="A324" s="15"/>
      <c r="B324" s="15"/>
      <c r="C324" s="15"/>
      <c r="D324" s="15"/>
      <c r="E324" s="15"/>
      <c r="F324" s="15"/>
      <c r="G324" s="15"/>
    </row>
    <row r="325" ht="15.75" customHeight="1">
      <c r="A325" s="15"/>
      <c r="B325" s="15"/>
      <c r="C325" s="15"/>
      <c r="D325" s="15"/>
      <c r="E325" s="15"/>
      <c r="F325" s="15"/>
      <c r="G325" s="15"/>
    </row>
    <row r="326" ht="15.75" customHeight="1">
      <c r="A326" s="15"/>
      <c r="B326" s="15"/>
      <c r="C326" s="15"/>
      <c r="D326" s="15"/>
      <c r="E326" s="15"/>
      <c r="F326" s="15"/>
      <c r="G326" s="15"/>
    </row>
    <row r="327" ht="15.75" customHeight="1">
      <c r="A327" s="15"/>
      <c r="B327" s="15"/>
      <c r="C327" s="15"/>
      <c r="D327" s="15"/>
      <c r="E327" s="15"/>
      <c r="F327" s="15"/>
      <c r="G327" s="15"/>
    </row>
    <row r="328" ht="15.75" customHeight="1">
      <c r="A328" s="15"/>
      <c r="B328" s="15"/>
      <c r="C328" s="15"/>
      <c r="D328" s="15"/>
      <c r="E328" s="15"/>
      <c r="F328" s="15"/>
      <c r="G328" s="15"/>
    </row>
    <row r="329" ht="15.75" customHeight="1">
      <c r="A329" s="15"/>
      <c r="B329" s="15"/>
      <c r="C329" s="15"/>
      <c r="D329" s="15"/>
      <c r="E329" s="15"/>
      <c r="F329" s="15"/>
      <c r="G329" s="15"/>
    </row>
    <row r="330" ht="15.75" customHeight="1">
      <c r="A330" s="15"/>
      <c r="B330" s="15"/>
      <c r="C330" s="15"/>
      <c r="D330" s="15"/>
      <c r="E330" s="15"/>
      <c r="F330" s="15"/>
      <c r="G330" s="15"/>
    </row>
    <row r="331" ht="15.75" customHeight="1">
      <c r="A331" s="15"/>
      <c r="B331" s="15"/>
      <c r="C331" s="15"/>
      <c r="D331" s="15"/>
      <c r="E331" s="15"/>
      <c r="F331" s="15"/>
      <c r="G331" s="15"/>
    </row>
    <row r="332" ht="15.75" customHeight="1">
      <c r="A332" s="15"/>
      <c r="B332" s="15"/>
      <c r="C332" s="15"/>
      <c r="D332" s="15"/>
      <c r="E332" s="15"/>
      <c r="F332" s="15"/>
      <c r="G332" s="15"/>
    </row>
    <row r="333" ht="15.75" customHeight="1">
      <c r="A333" s="15"/>
      <c r="B333" s="15"/>
      <c r="C333" s="15"/>
      <c r="D333" s="15"/>
      <c r="E333" s="15"/>
      <c r="F333" s="15"/>
      <c r="G333" s="15"/>
    </row>
    <row r="334" ht="15.75" customHeight="1">
      <c r="A334" s="15"/>
      <c r="B334" s="15"/>
      <c r="C334" s="15"/>
      <c r="D334" s="15"/>
      <c r="E334" s="15"/>
      <c r="F334" s="15"/>
      <c r="G334" s="15"/>
    </row>
    <row r="335" ht="15.75" customHeight="1">
      <c r="A335" s="15"/>
      <c r="B335" s="15"/>
      <c r="C335" s="15"/>
      <c r="D335" s="15"/>
      <c r="E335" s="15"/>
      <c r="F335" s="15"/>
      <c r="G335" s="15"/>
    </row>
    <row r="336" ht="15.75" customHeight="1">
      <c r="A336" s="15"/>
      <c r="B336" s="15"/>
      <c r="C336" s="15"/>
      <c r="D336" s="15"/>
      <c r="E336" s="15"/>
      <c r="F336" s="15"/>
      <c r="G336" s="15"/>
    </row>
    <row r="337" ht="15.75" customHeight="1">
      <c r="A337" s="15"/>
      <c r="B337" s="15"/>
      <c r="C337" s="15"/>
      <c r="D337" s="15"/>
      <c r="E337" s="15"/>
      <c r="F337" s="15"/>
      <c r="G337" s="15"/>
    </row>
    <row r="338" ht="15.75" customHeight="1">
      <c r="A338" s="15"/>
      <c r="B338" s="15"/>
      <c r="C338" s="15"/>
      <c r="D338" s="15"/>
      <c r="E338" s="15"/>
      <c r="F338" s="15"/>
      <c r="G338" s="15"/>
    </row>
    <row r="339" ht="15.75" customHeight="1">
      <c r="A339" s="15"/>
      <c r="B339" s="15"/>
      <c r="C339" s="15"/>
      <c r="D339" s="15"/>
      <c r="E339" s="15"/>
      <c r="F339" s="15"/>
      <c r="G339" s="15"/>
    </row>
    <row r="340" ht="15.75" customHeight="1">
      <c r="A340" s="15"/>
      <c r="B340" s="15"/>
      <c r="C340" s="15"/>
      <c r="D340" s="15"/>
      <c r="E340" s="15"/>
      <c r="F340" s="15"/>
      <c r="G340" s="15"/>
    </row>
    <row r="341" ht="15.75" customHeight="1">
      <c r="A341" s="15"/>
      <c r="B341" s="15"/>
      <c r="C341" s="15"/>
      <c r="D341" s="15"/>
      <c r="E341" s="15"/>
      <c r="F341" s="15"/>
      <c r="G341" s="15"/>
    </row>
    <row r="342" ht="15.75" customHeight="1">
      <c r="A342" s="15"/>
      <c r="B342" s="15"/>
      <c r="C342" s="15"/>
      <c r="D342" s="15"/>
      <c r="E342" s="15"/>
      <c r="F342" s="15"/>
      <c r="G342" s="15"/>
    </row>
    <row r="343" ht="15.75" customHeight="1">
      <c r="A343" s="15"/>
      <c r="B343" s="15"/>
      <c r="C343" s="15"/>
      <c r="D343" s="15"/>
      <c r="E343" s="15"/>
      <c r="F343" s="15"/>
      <c r="G343" s="15"/>
    </row>
    <row r="344" ht="15.75" customHeight="1">
      <c r="A344" s="15"/>
      <c r="B344" s="15"/>
      <c r="C344" s="15"/>
      <c r="D344" s="15"/>
      <c r="E344" s="15"/>
      <c r="F344" s="15"/>
      <c r="G344" s="15"/>
    </row>
    <row r="345" ht="15.75" customHeight="1">
      <c r="A345" s="15"/>
      <c r="B345" s="15"/>
      <c r="C345" s="15"/>
      <c r="D345" s="15"/>
      <c r="E345" s="15"/>
      <c r="F345" s="15"/>
      <c r="G345" s="15"/>
    </row>
    <row r="346" ht="15.75" customHeight="1">
      <c r="A346" s="15"/>
      <c r="B346" s="15"/>
      <c r="C346" s="15"/>
      <c r="D346" s="15"/>
      <c r="E346" s="15"/>
      <c r="F346" s="15"/>
      <c r="G346" s="15"/>
    </row>
    <row r="347" ht="15.75" customHeight="1">
      <c r="A347" s="15"/>
      <c r="B347" s="15"/>
      <c r="C347" s="15"/>
      <c r="D347" s="15"/>
      <c r="E347" s="15"/>
      <c r="F347" s="15"/>
      <c r="G347" s="15"/>
    </row>
    <row r="348" ht="15.75" customHeight="1">
      <c r="A348" s="15"/>
      <c r="B348" s="15"/>
      <c r="C348" s="15"/>
      <c r="D348" s="15"/>
      <c r="E348" s="15"/>
      <c r="F348" s="15"/>
      <c r="G348" s="15"/>
    </row>
    <row r="349" ht="15.75" customHeight="1">
      <c r="A349" s="15"/>
      <c r="B349" s="15"/>
      <c r="C349" s="15"/>
      <c r="D349" s="15"/>
      <c r="E349" s="15"/>
      <c r="F349" s="15"/>
      <c r="G349" s="15"/>
    </row>
    <row r="350" ht="15.75" customHeight="1">
      <c r="A350" s="15"/>
      <c r="B350" s="15"/>
      <c r="C350" s="15"/>
      <c r="D350" s="15"/>
      <c r="E350" s="15"/>
      <c r="F350" s="15"/>
      <c r="G350" s="15"/>
    </row>
    <row r="351" ht="15.75" customHeight="1">
      <c r="A351" s="15"/>
      <c r="B351" s="15"/>
      <c r="C351" s="15"/>
      <c r="D351" s="15"/>
      <c r="E351" s="15"/>
      <c r="F351" s="15"/>
      <c r="G351" s="15"/>
    </row>
    <row r="352" ht="15.75" customHeight="1">
      <c r="A352" s="15"/>
      <c r="B352" s="15"/>
      <c r="C352" s="15"/>
      <c r="D352" s="15"/>
      <c r="E352" s="15"/>
      <c r="F352" s="15"/>
      <c r="G352" s="15"/>
    </row>
    <row r="353" ht="15.75" customHeight="1">
      <c r="A353" s="15"/>
      <c r="B353" s="15"/>
      <c r="C353" s="15"/>
      <c r="D353" s="15"/>
      <c r="E353" s="15"/>
      <c r="F353" s="15"/>
      <c r="G353" s="15"/>
    </row>
    <row r="354" ht="15.75" customHeight="1">
      <c r="A354" s="15"/>
      <c r="B354" s="15"/>
      <c r="C354" s="15"/>
      <c r="D354" s="15"/>
      <c r="E354" s="15"/>
      <c r="F354" s="15"/>
      <c r="G354" s="15"/>
    </row>
    <row r="355" ht="15.75" customHeight="1">
      <c r="A355" s="15"/>
      <c r="B355" s="15"/>
      <c r="C355" s="15"/>
      <c r="D355" s="15"/>
      <c r="E355" s="15"/>
      <c r="F355" s="15"/>
      <c r="G355" s="15"/>
    </row>
    <row r="356" ht="15.75" customHeight="1">
      <c r="A356" s="15"/>
      <c r="B356" s="15"/>
      <c r="C356" s="15"/>
      <c r="D356" s="15"/>
      <c r="E356" s="15"/>
      <c r="F356" s="15"/>
      <c r="G356" s="15"/>
    </row>
    <row r="357" ht="15.75" customHeight="1">
      <c r="A357" s="15"/>
      <c r="B357" s="15"/>
      <c r="C357" s="15"/>
      <c r="D357" s="15"/>
      <c r="E357" s="15"/>
      <c r="F357" s="15"/>
      <c r="G357" s="15"/>
    </row>
    <row r="358" ht="15.75" customHeight="1">
      <c r="A358" s="15"/>
      <c r="B358" s="15"/>
      <c r="C358" s="15"/>
      <c r="D358" s="15"/>
      <c r="E358" s="15"/>
      <c r="F358" s="15"/>
      <c r="G358" s="15"/>
    </row>
    <row r="359" ht="15.75" customHeight="1">
      <c r="A359" s="15"/>
      <c r="B359" s="15"/>
      <c r="C359" s="15"/>
      <c r="D359" s="15"/>
      <c r="E359" s="15"/>
      <c r="F359" s="15"/>
      <c r="G359" s="15"/>
    </row>
    <row r="360" ht="15.75" customHeight="1">
      <c r="A360" s="15"/>
      <c r="B360" s="15"/>
      <c r="C360" s="15"/>
      <c r="D360" s="15"/>
      <c r="E360" s="15"/>
      <c r="F360" s="15"/>
      <c r="G360" s="15"/>
    </row>
    <row r="361" ht="15.75" customHeight="1">
      <c r="A361" s="15"/>
      <c r="B361" s="15"/>
      <c r="C361" s="15"/>
      <c r="D361" s="15"/>
      <c r="E361" s="15"/>
      <c r="F361" s="15"/>
      <c r="G361" s="15"/>
    </row>
    <row r="362" ht="15.75" customHeight="1">
      <c r="A362" s="15"/>
      <c r="B362" s="15"/>
      <c r="C362" s="15"/>
      <c r="D362" s="15"/>
      <c r="E362" s="15"/>
      <c r="F362" s="15"/>
      <c r="G362" s="15"/>
    </row>
    <row r="363" ht="15.75" customHeight="1">
      <c r="A363" s="15"/>
      <c r="B363" s="15"/>
      <c r="C363" s="15"/>
      <c r="D363" s="15"/>
      <c r="E363" s="15"/>
      <c r="F363" s="15"/>
      <c r="G363" s="15"/>
    </row>
    <row r="364" ht="15.75" customHeight="1">
      <c r="A364" s="15"/>
      <c r="B364" s="15"/>
      <c r="C364" s="15"/>
      <c r="D364" s="15"/>
      <c r="E364" s="15"/>
      <c r="F364" s="15"/>
      <c r="G364" s="15"/>
    </row>
    <row r="365" ht="15.75" customHeight="1">
      <c r="A365" s="15"/>
      <c r="B365" s="15"/>
      <c r="C365" s="15"/>
      <c r="D365" s="15"/>
      <c r="E365" s="15"/>
      <c r="F365" s="15"/>
      <c r="G365" s="15"/>
    </row>
    <row r="366" ht="15.75" customHeight="1">
      <c r="A366" s="15"/>
      <c r="B366" s="15"/>
      <c r="C366" s="15"/>
      <c r="D366" s="15"/>
      <c r="E366" s="15"/>
      <c r="F366" s="15"/>
      <c r="G366" s="15"/>
    </row>
    <row r="367" ht="15.75" customHeight="1">
      <c r="A367" s="15"/>
      <c r="B367" s="15"/>
      <c r="C367" s="15"/>
      <c r="D367" s="15"/>
      <c r="E367" s="15"/>
      <c r="F367" s="15"/>
      <c r="G367" s="15"/>
    </row>
    <row r="368" ht="15.75" customHeight="1">
      <c r="A368" s="15"/>
      <c r="B368" s="15"/>
      <c r="C368" s="15"/>
      <c r="D368" s="15"/>
      <c r="E368" s="15"/>
      <c r="F368" s="15"/>
      <c r="G368" s="15"/>
    </row>
    <row r="369" ht="15.75" customHeight="1">
      <c r="A369" s="15"/>
      <c r="B369" s="15"/>
      <c r="C369" s="15"/>
      <c r="D369" s="15"/>
      <c r="E369" s="15"/>
      <c r="F369" s="15"/>
      <c r="G369" s="15"/>
    </row>
    <row r="370" ht="15.75" customHeight="1">
      <c r="A370" s="15"/>
      <c r="B370" s="15"/>
      <c r="C370" s="15"/>
      <c r="D370" s="15"/>
      <c r="E370" s="15"/>
      <c r="F370" s="15"/>
      <c r="G370" s="15"/>
    </row>
    <row r="371" ht="15.75" customHeight="1">
      <c r="A371" s="15"/>
      <c r="B371" s="15"/>
      <c r="C371" s="15"/>
      <c r="D371" s="15"/>
      <c r="E371" s="15"/>
      <c r="F371" s="15"/>
      <c r="G371" s="15"/>
    </row>
    <row r="372" ht="15.75" customHeight="1">
      <c r="A372" s="15"/>
      <c r="B372" s="15"/>
      <c r="C372" s="15"/>
      <c r="D372" s="15"/>
      <c r="E372" s="15"/>
      <c r="F372" s="15"/>
      <c r="G372" s="15"/>
    </row>
    <row r="373" ht="15.75" customHeight="1">
      <c r="A373" s="15"/>
      <c r="B373" s="15"/>
      <c r="C373" s="15"/>
      <c r="D373" s="15"/>
      <c r="E373" s="15"/>
      <c r="F373" s="15"/>
      <c r="G373" s="15"/>
    </row>
    <row r="374" ht="15.75" customHeight="1">
      <c r="A374" s="15"/>
      <c r="B374" s="15"/>
      <c r="C374" s="15"/>
      <c r="D374" s="15"/>
      <c r="E374" s="15"/>
      <c r="F374" s="15"/>
      <c r="G374" s="15"/>
    </row>
    <row r="375" ht="15.75" customHeight="1">
      <c r="A375" s="15"/>
      <c r="B375" s="15"/>
      <c r="C375" s="15"/>
      <c r="D375" s="15"/>
      <c r="E375" s="15"/>
      <c r="F375" s="15"/>
      <c r="G375" s="15"/>
    </row>
    <row r="376" ht="15.75" customHeight="1">
      <c r="A376" s="15"/>
      <c r="B376" s="15"/>
      <c r="C376" s="15"/>
      <c r="D376" s="15"/>
      <c r="E376" s="15"/>
      <c r="F376" s="15"/>
      <c r="G376" s="15"/>
    </row>
    <row r="377" ht="15.75" customHeight="1">
      <c r="A377" s="15"/>
      <c r="B377" s="15"/>
      <c r="C377" s="15"/>
      <c r="D377" s="15"/>
      <c r="E377" s="15"/>
      <c r="F377" s="15"/>
      <c r="G377" s="15"/>
    </row>
    <row r="378" ht="15.75" customHeight="1">
      <c r="A378" s="15"/>
      <c r="B378" s="15"/>
      <c r="C378" s="15"/>
      <c r="D378" s="15"/>
      <c r="E378" s="15"/>
      <c r="F378" s="15"/>
      <c r="G378" s="15"/>
    </row>
    <row r="379" ht="15.75" customHeight="1">
      <c r="A379" s="15"/>
      <c r="B379" s="15"/>
      <c r="C379" s="15"/>
      <c r="D379" s="15"/>
      <c r="E379" s="15"/>
      <c r="F379" s="15"/>
      <c r="G379" s="15"/>
    </row>
    <row r="380" ht="15.75" customHeight="1">
      <c r="A380" s="15"/>
      <c r="B380" s="15"/>
      <c r="C380" s="15"/>
      <c r="D380" s="15"/>
      <c r="E380" s="15"/>
      <c r="F380" s="15"/>
      <c r="G380" s="15"/>
    </row>
    <row r="381" ht="15.75" customHeight="1">
      <c r="A381" s="15"/>
      <c r="B381" s="15"/>
      <c r="C381" s="15"/>
      <c r="D381" s="15"/>
      <c r="E381" s="15"/>
      <c r="F381" s="15"/>
      <c r="G381" s="15"/>
    </row>
    <row r="382" ht="15.75" customHeight="1">
      <c r="A382" s="15"/>
      <c r="B382" s="15"/>
      <c r="C382" s="15"/>
      <c r="D382" s="15"/>
      <c r="E382" s="15"/>
      <c r="F382" s="15"/>
      <c r="G382" s="15"/>
    </row>
    <row r="383" ht="15.75" customHeight="1">
      <c r="A383" s="15"/>
      <c r="B383" s="15"/>
      <c r="C383" s="15"/>
      <c r="D383" s="15"/>
      <c r="E383" s="15"/>
      <c r="F383" s="15"/>
      <c r="G383" s="15"/>
    </row>
    <row r="384" ht="15.75" customHeight="1">
      <c r="A384" s="15"/>
      <c r="B384" s="15"/>
      <c r="C384" s="15"/>
      <c r="D384" s="15"/>
      <c r="E384" s="15"/>
      <c r="F384" s="15"/>
      <c r="G384" s="15"/>
    </row>
    <row r="385" ht="15.75" customHeight="1">
      <c r="A385" s="15"/>
      <c r="B385" s="15"/>
      <c r="C385" s="15"/>
      <c r="D385" s="15"/>
      <c r="E385" s="15"/>
      <c r="F385" s="15"/>
      <c r="G385" s="15"/>
    </row>
    <row r="386" ht="15.75" customHeight="1">
      <c r="A386" s="15"/>
      <c r="B386" s="15"/>
      <c r="C386" s="15"/>
      <c r="D386" s="15"/>
      <c r="E386" s="15"/>
      <c r="F386" s="15"/>
      <c r="G386" s="15"/>
    </row>
    <row r="387" ht="15.75" customHeight="1">
      <c r="A387" s="15"/>
      <c r="B387" s="15"/>
      <c r="C387" s="15"/>
      <c r="D387" s="15"/>
      <c r="E387" s="15"/>
      <c r="F387" s="15"/>
      <c r="G387" s="15"/>
    </row>
    <row r="388" ht="15.75" customHeight="1">
      <c r="A388" s="15"/>
      <c r="B388" s="15"/>
      <c r="C388" s="15"/>
      <c r="D388" s="15"/>
      <c r="E388" s="15"/>
      <c r="F388" s="15"/>
      <c r="G388" s="15"/>
    </row>
    <row r="389" ht="15.75" customHeight="1">
      <c r="A389" s="15"/>
      <c r="B389" s="15"/>
      <c r="C389" s="15"/>
      <c r="D389" s="15"/>
      <c r="E389" s="15"/>
      <c r="F389" s="15"/>
      <c r="G389" s="15"/>
    </row>
    <row r="390" ht="15.75" customHeight="1">
      <c r="A390" s="15"/>
      <c r="B390" s="15"/>
      <c r="C390" s="15"/>
      <c r="D390" s="15"/>
      <c r="E390" s="15"/>
      <c r="F390" s="15"/>
      <c r="G390" s="15"/>
    </row>
    <row r="391" ht="15.75" customHeight="1">
      <c r="A391" s="15"/>
      <c r="B391" s="15"/>
      <c r="C391" s="15"/>
      <c r="D391" s="15"/>
      <c r="E391" s="15"/>
      <c r="F391" s="15"/>
      <c r="G391" s="15"/>
    </row>
    <row r="392" ht="15.75" customHeight="1">
      <c r="A392" s="15"/>
      <c r="B392" s="15"/>
      <c r="C392" s="15"/>
      <c r="D392" s="15"/>
      <c r="E392" s="15"/>
      <c r="F392" s="15"/>
      <c r="G392" s="15"/>
    </row>
    <row r="393" ht="15.75" customHeight="1">
      <c r="A393" s="15"/>
      <c r="B393" s="15"/>
      <c r="C393" s="15"/>
      <c r="D393" s="15"/>
      <c r="E393" s="15"/>
      <c r="F393" s="15"/>
      <c r="G393" s="15"/>
    </row>
    <row r="394" ht="15.75" customHeight="1">
      <c r="A394" s="15"/>
      <c r="B394" s="15"/>
      <c r="C394" s="15"/>
      <c r="D394" s="15"/>
      <c r="E394" s="15"/>
      <c r="F394" s="15"/>
      <c r="G394" s="15"/>
    </row>
    <row r="395" ht="15.75" customHeight="1">
      <c r="A395" s="15"/>
      <c r="B395" s="15"/>
      <c r="C395" s="15"/>
      <c r="D395" s="15"/>
      <c r="E395" s="15"/>
      <c r="F395" s="15"/>
      <c r="G395" s="15"/>
    </row>
    <row r="396" ht="15.75" customHeight="1">
      <c r="A396" s="15"/>
      <c r="B396" s="15"/>
      <c r="C396" s="15"/>
      <c r="D396" s="15"/>
      <c r="E396" s="15"/>
      <c r="F396" s="15"/>
      <c r="G396" s="15"/>
    </row>
    <row r="397" ht="15.75" customHeight="1">
      <c r="A397" s="15"/>
      <c r="B397" s="15"/>
      <c r="C397" s="15"/>
      <c r="D397" s="15"/>
      <c r="E397" s="15"/>
      <c r="F397" s="15"/>
      <c r="G397" s="15"/>
    </row>
    <row r="398" ht="15.75" customHeight="1">
      <c r="A398" s="15"/>
      <c r="B398" s="15"/>
      <c r="C398" s="15"/>
      <c r="D398" s="15"/>
      <c r="E398" s="15"/>
      <c r="F398" s="15"/>
      <c r="G398" s="15"/>
    </row>
    <row r="399" ht="15.75" customHeight="1">
      <c r="A399" s="15"/>
      <c r="B399" s="15"/>
      <c r="C399" s="15"/>
      <c r="D399" s="15"/>
      <c r="E399" s="15"/>
      <c r="F399" s="15"/>
      <c r="G399" s="15"/>
    </row>
    <row r="400" ht="15.75" customHeight="1">
      <c r="A400" s="15"/>
      <c r="B400" s="15"/>
      <c r="C400" s="15"/>
      <c r="D400" s="15"/>
      <c r="E400" s="15"/>
      <c r="F400" s="15"/>
      <c r="G400" s="15"/>
    </row>
    <row r="401" ht="15.75" customHeight="1">
      <c r="A401" s="15"/>
      <c r="B401" s="15"/>
      <c r="C401" s="15"/>
      <c r="D401" s="15"/>
      <c r="E401" s="15"/>
      <c r="F401" s="15"/>
      <c r="G401" s="15"/>
    </row>
    <row r="402" ht="15.75" customHeight="1">
      <c r="A402" s="15"/>
      <c r="B402" s="15"/>
      <c r="C402" s="15"/>
      <c r="D402" s="15"/>
      <c r="E402" s="15"/>
      <c r="F402" s="15"/>
      <c r="G402" s="15"/>
    </row>
    <row r="403" ht="15.75" customHeight="1">
      <c r="A403" s="15"/>
      <c r="B403" s="15"/>
      <c r="C403" s="15"/>
      <c r="D403" s="15"/>
      <c r="E403" s="15"/>
      <c r="F403" s="15"/>
      <c r="G403" s="15"/>
    </row>
    <row r="404" ht="15.75" customHeight="1">
      <c r="A404" s="15"/>
      <c r="B404" s="15"/>
      <c r="C404" s="15"/>
      <c r="D404" s="15"/>
      <c r="E404" s="15"/>
      <c r="F404" s="15"/>
      <c r="G404" s="15"/>
    </row>
    <row r="405" ht="15.75" customHeight="1">
      <c r="A405" s="15"/>
      <c r="B405" s="15"/>
      <c r="C405" s="15"/>
      <c r="D405" s="15"/>
      <c r="E405" s="15"/>
      <c r="F405" s="15"/>
      <c r="G405" s="15"/>
    </row>
    <row r="406" ht="15.75" customHeight="1">
      <c r="A406" s="15"/>
      <c r="B406" s="15"/>
      <c r="C406" s="15"/>
      <c r="D406" s="15"/>
      <c r="E406" s="15"/>
      <c r="F406" s="15"/>
      <c r="G406" s="15"/>
    </row>
    <row r="407" ht="15.75" customHeight="1">
      <c r="A407" s="15"/>
      <c r="B407" s="15"/>
      <c r="C407" s="15"/>
      <c r="D407" s="15"/>
      <c r="E407" s="15"/>
      <c r="F407" s="15"/>
      <c r="G407" s="15"/>
    </row>
    <row r="408" ht="15.75" customHeight="1">
      <c r="A408" s="15"/>
      <c r="B408" s="15"/>
      <c r="C408" s="15"/>
      <c r="D408" s="15"/>
      <c r="E408" s="15"/>
      <c r="F408" s="15"/>
      <c r="G408" s="15"/>
    </row>
    <row r="409" ht="15.75" customHeight="1">
      <c r="A409" s="15"/>
      <c r="B409" s="15"/>
      <c r="C409" s="15"/>
      <c r="D409" s="15"/>
      <c r="E409" s="15"/>
      <c r="F409" s="15"/>
      <c r="G409" s="15"/>
    </row>
    <row r="410" ht="15.75" customHeight="1">
      <c r="A410" s="15"/>
      <c r="B410" s="15"/>
      <c r="C410" s="15"/>
      <c r="D410" s="15"/>
      <c r="E410" s="15"/>
      <c r="F410" s="15"/>
      <c r="G410" s="15"/>
    </row>
    <row r="411" ht="15.75" customHeight="1">
      <c r="A411" s="15"/>
      <c r="B411" s="15"/>
      <c r="C411" s="15"/>
      <c r="D411" s="15"/>
      <c r="E411" s="15"/>
      <c r="F411" s="15"/>
      <c r="G411" s="15"/>
    </row>
    <row r="412" ht="15.75" customHeight="1">
      <c r="A412" s="15"/>
      <c r="B412" s="15"/>
      <c r="C412" s="15"/>
      <c r="D412" s="15"/>
      <c r="E412" s="15"/>
      <c r="F412" s="15"/>
      <c r="G412" s="15"/>
    </row>
    <row r="413" ht="15.75" customHeight="1">
      <c r="A413" s="15"/>
      <c r="B413" s="15"/>
      <c r="C413" s="15"/>
      <c r="D413" s="15"/>
      <c r="E413" s="15"/>
      <c r="F413" s="15"/>
      <c r="G413" s="15"/>
    </row>
    <row r="414" ht="15.75" customHeight="1">
      <c r="A414" s="15"/>
      <c r="B414" s="15"/>
      <c r="C414" s="15"/>
      <c r="D414" s="15"/>
      <c r="E414" s="15"/>
      <c r="F414" s="15"/>
      <c r="G414" s="15"/>
    </row>
    <row r="415" ht="15.75" customHeight="1">
      <c r="A415" s="15"/>
      <c r="B415" s="15"/>
      <c r="C415" s="15"/>
      <c r="D415" s="15"/>
      <c r="E415" s="15"/>
      <c r="F415" s="15"/>
      <c r="G415" s="15"/>
    </row>
    <row r="416" ht="15.75" customHeight="1">
      <c r="A416" s="15"/>
      <c r="B416" s="15"/>
      <c r="C416" s="15"/>
      <c r="D416" s="15"/>
      <c r="E416" s="15"/>
      <c r="F416" s="15"/>
      <c r="G416" s="15"/>
    </row>
    <row r="417" ht="15.75" customHeight="1">
      <c r="A417" s="15"/>
      <c r="B417" s="15"/>
      <c r="C417" s="15"/>
      <c r="D417" s="15"/>
      <c r="E417" s="15"/>
      <c r="F417" s="15"/>
      <c r="G417" s="15"/>
    </row>
    <row r="418" ht="15.75" customHeight="1">
      <c r="A418" s="15"/>
      <c r="B418" s="15"/>
      <c r="C418" s="15"/>
      <c r="D418" s="15"/>
      <c r="E418" s="15"/>
      <c r="F418" s="15"/>
      <c r="G418" s="15"/>
    </row>
    <row r="419" ht="15.75" customHeight="1">
      <c r="A419" s="15"/>
      <c r="B419" s="15"/>
      <c r="C419" s="15"/>
      <c r="D419" s="15"/>
      <c r="E419" s="15"/>
      <c r="F419" s="15"/>
      <c r="G419" s="15"/>
    </row>
    <row r="420" ht="15.75" customHeight="1">
      <c r="A420" s="15"/>
      <c r="B420" s="15"/>
      <c r="C420" s="15"/>
      <c r="D420" s="15"/>
      <c r="E420" s="15"/>
      <c r="F420" s="15"/>
      <c r="G420" s="15"/>
    </row>
    <row r="421" ht="15.75" customHeight="1">
      <c r="A421" s="15"/>
      <c r="B421" s="15"/>
      <c r="C421" s="15"/>
      <c r="D421" s="15"/>
      <c r="E421" s="15"/>
      <c r="F421" s="15"/>
      <c r="G421" s="15"/>
    </row>
    <row r="422" ht="15.75" customHeight="1">
      <c r="A422" s="15"/>
      <c r="B422" s="15"/>
      <c r="C422" s="15"/>
      <c r="D422" s="15"/>
      <c r="E422" s="15"/>
      <c r="F422" s="15"/>
      <c r="G422" s="15"/>
    </row>
    <row r="423" ht="15.75" customHeight="1">
      <c r="A423" s="15"/>
      <c r="B423" s="15"/>
      <c r="C423" s="15"/>
      <c r="D423" s="15"/>
      <c r="E423" s="15"/>
      <c r="F423" s="15"/>
      <c r="G423" s="15"/>
    </row>
    <row r="424" ht="15.75" customHeight="1">
      <c r="A424" s="15"/>
      <c r="B424" s="15"/>
      <c r="C424" s="15"/>
      <c r="D424" s="15"/>
      <c r="E424" s="15"/>
      <c r="F424" s="15"/>
      <c r="G424" s="15"/>
    </row>
    <row r="425" ht="15.75" customHeight="1">
      <c r="A425" s="15"/>
      <c r="B425" s="15"/>
      <c r="C425" s="15"/>
      <c r="D425" s="15"/>
      <c r="E425" s="15"/>
      <c r="F425" s="15"/>
      <c r="G425" s="15"/>
    </row>
    <row r="426" ht="15.75" customHeight="1">
      <c r="A426" s="15"/>
      <c r="B426" s="15"/>
      <c r="C426" s="15"/>
      <c r="D426" s="15"/>
      <c r="E426" s="15"/>
      <c r="F426" s="15"/>
      <c r="G426" s="15"/>
    </row>
    <row r="427" ht="15.75" customHeight="1">
      <c r="A427" s="15"/>
      <c r="B427" s="15"/>
      <c r="C427" s="15"/>
      <c r="D427" s="15"/>
      <c r="E427" s="15"/>
      <c r="F427" s="15"/>
      <c r="G427" s="15"/>
    </row>
    <row r="428" ht="15.75" customHeight="1">
      <c r="A428" s="15"/>
      <c r="B428" s="15"/>
      <c r="C428" s="15"/>
      <c r="D428" s="15"/>
      <c r="E428" s="15"/>
      <c r="F428" s="15"/>
      <c r="G428" s="15"/>
    </row>
    <row r="429" ht="15.75" customHeight="1">
      <c r="A429" s="15"/>
      <c r="B429" s="15"/>
      <c r="C429" s="15"/>
      <c r="D429" s="15"/>
      <c r="E429" s="15"/>
      <c r="F429" s="15"/>
      <c r="G429" s="15"/>
    </row>
    <row r="430" ht="15.75" customHeight="1">
      <c r="A430" s="15"/>
      <c r="B430" s="15"/>
      <c r="C430" s="15"/>
      <c r="D430" s="15"/>
      <c r="E430" s="15"/>
      <c r="F430" s="15"/>
      <c r="G430" s="15"/>
    </row>
    <row r="431" ht="15.75" customHeight="1">
      <c r="A431" s="15"/>
      <c r="B431" s="15"/>
      <c r="C431" s="15"/>
      <c r="D431" s="15"/>
      <c r="E431" s="15"/>
      <c r="F431" s="15"/>
      <c r="G431" s="15"/>
    </row>
    <row r="432" ht="15.75" customHeight="1">
      <c r="A432" s="15"/>
      <c r="B432" s="15"/>
      <c r="C432" s="15"/>
      <c r="D432" s="15"/>
      <c r="E432" s="15"/>
      <c r="F432" s="15"/>
      <c r="G432" s="15"/>
    </row>
    <row r="433" ht="15.75" customHeight="1">
      <c r="A433" s="15"/>
      <c r="B433" s="15"/>
      <c r="C433" s="15"/>
      <c r="D433" s="15"/>
      <c r="E433" s="15"/>
      <c r="F433" s="15"/>
      <c r="G433" s="15"/>
    </row>
    <row r="434" ht="15.75" customHeight="1">
      <c r="A434" s="15"/>
      <c r="B434" s="15"/>
      <c r="C434" s="15"/>
      <c r="D434" s="15"/>
      <c r="E434" s="15"/>
      <c r="F434" s="15"/>
      <c r="G434" s="15"/>
    </row>
    <row r="435" ht="15.75" customHeight="1">
      <c r="A435" s="15"/>
      <c r="B435" s="15"/>
      <c r="C435" s="15"/>
      <c r="D435" s="15"/>
      <c r="E435" s="15"/>
      <c r="F435" s="15"/>
      <c r="G435" s="15"/>
    </row>
    <row r="436" ht="15.75" customHeight="1">
      <c r="A436" s="15"/>
      <c r="B436" s="15"/>
      <c r="C436" s="15"/>
      <c r="D436" s="15"/>
      <c r="E436" s="15"/>
      <c r="F436" s="15"/>
      <c r="G436" s="15"/>
    </row>
    <row r="437" ht="15.75" customHeight="1">
      <c r="A437" s="15"/>
      <c r="B437" s="15"/>
      <c r="C437" s="15"/>
      <c r="D437" s="15"/>
      <c r="E437" s="15"/>
      <c r="F437" s="15"/>
      <c r="G437" s="15"/>
    </row>
    <row r="438" ht="15.75" customHeight="1">
      <c r="A438" s="15"/>
      <c r="B438" s="15"/>
      <c r="C438" s="15"/>
      <c r="D438" s="15"/>
      <c r="E438" s="15"/>
      <c r="F438" s="15"/>
      <c r="G438" s="15"/>
    </row>
    <row r="439" ht="15.75" customHeight="1">
      <c r="A439" s="15"/>
      <c r="B439" s="15"/>
      <c r="C439" s="15"/>
      <c r="D439" s="15"/>
      <c r="E439" s="15"/>
      <c r="F439" s="15"/>
      <c r="G439" s="15"/>
    </row>
    <row r="440" ht="15.75" customHeight="1">
      <c r="A440" s="15"/>
      <c r="B440" s="15"/>
      <c r="C440" s="15"/>
      <c r="D440" s="15"/>
      <c r="E440" s="15"/>
      <c r="F440" s="15"/>
      <c r="G440" s="15"/>
    </row>
    <row r="441" ht="15.75" customHeight="1">
      <c r="A441" s="15"/>
      <c r="B441" s="15"/>
      <c r="C441" s="15"/>
      <c r="D441" s="15"/>
      <c r="E441" s="15"/>
      <c r="F441" s="15"/>
      <c r="G441" s="15"/>
    </row>
    <row r="442" ht="15.75" customHeight="1">
      <c r="A442" s="15"/>
      <c r="B442" s="15"/>
      <c r="C442" s="15"/>
      <c r="D442" s="15"/>
      <c r="E442" s="15"/>
      <c r="F442" s="15"/>
      <c r="G442" s="15"/>
    </row>
    <row r="443" ht="15.75" customHeight="1">
      <c r="A443" s="15"/>
      <c r="B443" s="15"/>
      <c r="C443" s="15"/>
      <c r="D443" s="15"/>
      <c r="E443" s="15"/>
      <c r="F443" s="15"/>
      <c r="G443" s="15"/>
    </row>
    <row r="444" ht="15.75" customHeight="1">
      <c r="A444" s="15"/>
      <c r="B444" s="15"/>
      <c r="C444" s="15"/>
      <c r="D444" s="15"/>
      <c r="E444" s="15"/>
      <c r="F444" s="15"/>
      <c r="G444" s="15"/>
    </row>
    <row r="445" ht="15.75" customHeight="1">
      <c r="A445" s="15"/>
      <c r="B445" s="15"/>
      <c r="C445" s="15"/>
      <c r="D445" s="15"/>
      <c r="E445" s="15"/>
      <c r="F445" s="15"/>
      <c r="G445" s="15"/>
    </row>
    <row r="446" ht="15.75" customHeight="1">
      <c r="A446" s="15"/>
      <c r="B446" s="15"/>
      <c r="C446" s="15"/>
      <c r="D446" s="15"/>
      <c r="E446" s="15"/>
      <c r="F446" s="15"/>
      <c r="G446" s="15"/>
    </row>
    <row r="447" ht="15.75" customHeight="1">
      <c r="A447" s="15"/>
      <c r="B447" s="15"/>
      <c r="C447" s="15"/>
      <c r="D447" s="15"/>
      <c r="E447" s="15"/>
      <c r="F447" s="15"/>
      <c r="G447" s="15"/>
    </row>
    <row r="448" ht="15.75" customHeight="1">
      <c r="A448" s="15"/>
      <c r="B448" s="15"/>
      <c r="C448" s="15"/>
      <c r="D448" s="15"/>
      <c r="E448" s="15"/>
      <c r="F448" s="15"/>
      <c r="G448" s="15"/>
    </row>
    <row r="449" ht="15.75" customHeight="1">
      <c r="A449" s="15"/>
      <c r="B449" s="15"/>
      <c r="C449" s="15"/>
      <c r="D449" s="15"/>
      <c r="E449" s="15"/>
      <c r="F449" s="15"/>
      <c r="G449" s="15"/>
    </row>
    <row r="450" ht="15.75" customHeight="1">
      <c r="A450" s="15"/>
      <c r="B450" s="15"/>
      <c r="C450" s="15"/>
      <c r="D450" s="15"/>
      <c r="E450" s="15"/>
      <c r="F450" s="15"/>
      <c r="G450" s="15"/>
    </row>
    <row r="451" ht="15.75" customHeight="1">
      <c r="A451" s="15"/>
      <c r="B451" s="15"/>
      <c r="C451" s="15"/>
      <c r="D451" s="15"/>
      <c r="E451" s="15"/>
      <c r="F451" s="15"/>
      <c r="G451" s="15"/>
    </row>
    <row r="452" ht="15.75" customHeight="1">
      <c r="A452" s="15"/>
      <c r="B452" s="15"/>
      <c r="C452" s="15"/>
      <c r="D452" s="15"/>
      <c r="E452" s="15"/>
      <c r="F452" s="15"/>
      <c r="G452" s="15"/>
    </row>
    <row r="453" ht="15.75" customHeight="1">
      <c r="A453" s="15"/>
      <c r="B453" s="15"/>
      <c r="C453" s="15"/>
      <c r="D453" s="15"/>
      <c r="E453" s="15"/>
      <c r="F453" s="15"/>
      <c r="G453" s="15"/>
    </row>
    <row r="454" ht="15.75" customHeight="1">
      <c r="A454" s="15"/>
      <c r="B454" s="15"/>
      <c r="C454" s="15"/>
      <c r="D454" s="15"/>
      <c r="E454" s="15"/>
      <c r="F454" s="15"/>
      <c r="G454" s="15"/>
    </row>
    <row r="455" ht="15.75" customHeight="1">
      <c r="A455" s="15"/>
      <c r="B455" s="15"/>
      <c r="C455" s="15"/>
      <c r="D455" s="15"/>
      <c r="E455" s="15"/>
      <c r="F455" s="15"/>
      <c r="G455" s="15"/>
    </row>
    <row r="456" ht="15.75" customHeight="1">
      <c r="A456" s="15"/>
      <c r="B456" s="15"/>
      <c r="C456" s="15"/>
      <c r="D456" s="15"/>
      <c r="E456" s="15"/>
      <c r="F456" s="15"/>
      <c r="G456" s="15"/>
    </row>
    <row r="457" ht="15.75" customHeight="1">
      <c r="A457" s="15"/>
      <c r="B457" s="15"/>
      <c r="C457" s="15"/>
      <c r="D457" s="15"/>
      <c r="E457" s="15"/>
      <c r="F457" s="15"/>
      <c r="G457" s="15"/>
    </row>
    <row r="458" ht="15.75" customHeight="1">
      <c r="A458" s="15"/>
      <c r="B458" s="15"/>
      <c r="C458" s="15"/>
      <c r="D458" s="15"/>
      <c r="E458" s="15"/>
      <c r="F458" s="15"/>
      <c r="G458" s="15"/>
    </row>
    <row r="459" ht="15.75" customHeight="1">
      <c r="A459" s="15"/>
      <c r="B459" s="15"/>
      <c r="C459" s="15"/>
      <c r="D459" s="15"/>
      <c r="E459" s="15"/>
      <c r="F459" s="15"/>
      <c r="G459" s="15"/>
    </row>
    <row r="460" ht="15.75" customHeight="1">
      <c r="A460" s="15"/>
      <c r="B460" s="15"/>
      <c r="C460" s="15"/>
      <c r="D460" s="15"/>
      <c r="E460" s="15"/>
      <c r="F460" s="15"/>
      <c r="G460" s="15"/>
    </row>
    <row r="461" ht="15.75" customHeight="1">
      <c r="A461" s="15"/>
      <c r="B461" s="15"/>
      <c r="C461" s="15"/>
      <c r="D461" s="15"/>
      <c r="E461" s="15"/>
      <c r="F461" s="15"/>
      <c r="G461" s="15"/>
    </row>
    <row r="462" ht="15.75" customHeight="1">
      <c r="A462" s="15"/>
      <c r="B462" s="15"/>
      <c r="C462" s="15"/>
      <c r="D462" s="15"/>
      <c r="E462" s="15"/>
      <c r="F462" s="15"/>
      <c r="G462" s="15"/>
    </row>
    <row r="463" ht="15.75" customHeight="1">
      <c r="A463" s="15"/>
      <c r="B463" s="15"/>
      <c r="C463" s="15"/>
      <c r="D463" s="15"/>
      <c r="E463" s="15"/>
      <c r="F463" s="15"/>
      <c r="G463" s="15"/>
    </row>
    <row r="464" ht="15.75" customHeight="1">
      <c r="A464" s="15"/>
      <c r="B464" s="15"/>
      <c r="C464" s="15"/>
      <c r="D464" s="15"/>
      <c r="E464" s="15"/>
      <c r="F464" s="15"/>
      <c r="G464" s="15"/>
    </row>
    <row r="465" ht="15.75" customHeight="1">
      <c r="A465" s="15"/>
      <c r="B465" s="15"/>
      <c r="C465" s="15"/>
      <c r="D465" s="15"/>
      <c r="E465" s="15"/>
      <c r="F465" s="15"/>
      <c r="G465" s="15"/>
    </row>
    <row r="466" ht="15.75" customHeight="1">
      <c r="A466" s="15"/>
      <c r="B466" s="15"/>
      <c r="C466" s="15"/>
      <c r="D466" s="15"/>
      <c r="E466" s="15"/>
      <c r="F466" s="15"/>
      <c r="G466" s="15"/>
    </row>
    <row r="467" ht="15.75" customHeight="1">
      <c r="A467" s="15"/>
      <c r="B467" s="15"/>
      <c r="C467" s="15"/>
      <c r="D467" s="15"/>
      <c r="E467" s="15"/>
      <c r="F467" s="15"/>
      <c r="G467" s="15"/>
    </row>
    <row r="468" ht="15.75" customHeight="1">
      <c r="A468" s="15"/>
      <c r="B468" s="15"/>
      <c r="C468" s="15"/>
      <c r="D468" s="15"/>
      <c r="E468" s="15"/>
      <c r="F468" s="15"/>
      <c r="G468" s="15"/>
    </row>
    <row r="469" ht="15.75" customHeight="1">
      <c r="A469" s="15"/>
      <c r="B469" s="15"/>
      <c r="C469" s="15"/>
      <c r="D469" s="15"/>
      <c r="E469" s="15"/>
      <c r="F469" s="15"/>
      <c r="G469" s="15"/>
    </row>
    <row r="470" ht="15.75" customHeight="1">
      <c r="A470" s="15"/>
      <c r="B470" s="15"/>
      <c r="C470" s="15"/>
      <c r="D470" s="15"/>
      <c r="E470" s="15"/>
      <c r="F470" s="15"/>
      <c r="G470" s="15"/>
    </row>
    <row r="471" ht="15.75" customHeight="1">
      <c r="A471" s="15"/>
      <c r="B471" s="15"/>
      <c r="C471" s="15"/>
      <c r="D471" s="15"/>
      <c r="E471" s="15"/>
      <c r="F471" s="15"/>
      <c r="G471" s="15"/>
    </row>
    <row r="472" ht="15.75" customHeight="1">
      <c r="A472" s="15"/>
      <c r="B472" s="15"/>
      <c r="C472" s="15"/>
      <c r="D472" s="15"/>
      <c r="E472" s="15"/>
      <c r="F472" s="15"/>
      <c r="G472" s="15"/>
    </row>
    <row r="473" ht="15.75" customHeight="1">
      <c r="A473" s="15"/>
      <c r="B473" s="15"/>
      <c r="C473" s="15"/>
      <c r="D473" s="15"/>
      <c r="E473" s="15"/>
      <c r="F473" s="15"/>
      <c r="G473" s="15"/>
    </row>
    <row r="474" ht="15.75" customHeight="1">
      <c r="A474" s="15"/>
      <c r="B474" s="15"/>
      <c r="C474" s="15"/>
      <c r="D474" s="15"/>
      <c r="E474" s="15"/>
      <c r="F474" s="15"/>
      <c r="G474" s="15"/>
    </row>
    <row r="475" ht="15.75" customHeight="1">
      <c r="A475" s="15"/>
      <c r="B475" s="15"/>
      <c r="C475" s="15"/>
      <c r="D475" s="15"/>
      <c r="E475" s="15"/>
      <c r="F475" s="15"/>
      <c r="G475" s="15"/>
    </row>
    <row r="476" ht="15.75" customHeight="1">
      <c r="A476" s="15"/>
      <c r="B476" s="15"/>
      <c r="C476" s="15"/>
      <c r="D476" s="15"/>
      <c r="E476" s="15"/>
      <c r="F476" s="15"/>
      <c r="G476" s="15"/>
    </row>
    <row r="477" ht="15.75" customHeight="1">
      <c r="A477" s="15"/>
      <c r="B477" s="15"/>
      <c r="C477" s="15"/>
      <c r="D477" s="15"/>
      <c r="E477" s="15"/>
      <c r="F477" s="15"/>
      <c r="G477" s="15"/>
    </row>
    <row r="478" ht="15.75" customHeight="1">
      <c r="A478" s="15"/>
      <c r="B478" s="15"/>
      <c r="C478" s="15"/>
      <c r="D478" s="15"/>
      <c r="E478" s="15"/>
      <c r="F478" s="15"/>
      <c r="G478" s="15"/>
    </row>
    <row r="479" ht="15.75" customHeight="1">
      <c r="A479" s="15"/>
      <c r="B479" s="15"/>
      <c r="C479" s="15"/>
      <c r="D479" s="15"/>
      <c r="E479" s="15"/>
      <c r="F479" s="15"/>
      <c r="G479" s="15"/>
    </row>
    <row r="480" ht="15.75" customHeight="1">
      <c r="A480" s="15"/>
      <c r="B480" s="15"/>
      <c r="C480" s="15"/>
      <c r="D480" s="15"/>
      <c r="E480" s="15"/>
      <c r="F480" s="15"/>
      <c r="G480" s="15"/>
    </row>
    <row r="481" ht="15.75" customHeight="1">
      <c r="A481" s="15"/>
      <c r="B481" s="15"/>
      <c r="C481" s="15"/>
      <c r="D481" s="15"/>
      <c r="E481" s="15"/>
      <c r="F481" s="15"/>
      <c r="G481" s="15"/>
    </row>
    <row r="482" ht="15.75" customHeight="1">
      <c r="A482" s="15"/>
      <c r="B482" s="15"/>
      <c r="C482" s="15"/>
      <c r="D482" s="15"/>
      <c r="E482" s="15"/>
      <c r="F482" s="15"/>
      <c r="G482" s="15"/>
    </row>
    <row r="483" ht="15.75" customHeight="1">
      <c r="A483" s="15"/>
      <c r="B483" s="15"/>
      <c r="C483" s="15"/>
      <c r="D483" s="15"/>
      <c r="E483" s="15"/>
      <c r="F483" s="15"/>
      <c r="G483" s="15"/>
    </row>
    <row r="484" ht="15.75" customHeight="1">
      <c r="A484" s="15"/>
      <c r="B484" s="15"/>
      <c r="C484" s="15"/>
      <c r="D484" s="15"/>
      <c r="E484" s="15"/>
      <c r="F484" s="15"/>
      <c r="G484" s="15"/>
    </row>
    <row r="485" ht="15.75" customHeight="1">
      <c r="A485" s="15"/>
      <c r="B485" s="15"/>
      <c r="C485" s="15"/>
      <c r="D485" s="15"/>
      <c r="E485" s="15"/>
      <c r="F485" s="15"/>
      <c r="G485" s="15"/>
    </row>
    <row r="486" ht="15.75" customHeight="1">
      <c r="A486" s="15"/>
      <c r="B486" s="15"/>
      <c r="C486" s="15"/>
      <c r="D486" s="15"/>
      <c r="E486" s="15"/>
      <c r="F486" s="15"/>
      <c r="G486" s="15"/>
    </row>
    <row r="487" ht="15.75" customHeight="1">
      <c r="A487" s="15"/>
      <c r="B487" s="15"/>
      <c r="C487" s="15"/>
      <c r="D487" s="15"/>
      <c r="E487" s="15"/>
      <c r="F487" s="15"/>
      <c r="G487" s="15"/>
    </row>
    <row r="488" ht="15.75" customHeight="1">
      <c r="A488" s="15"/>
      <c r="B488" s="15"/>
      <c r="C488" s="15"/>
      <c r="D488" s="15"/>
      <c r="E488" s="15"/>
      <c r="F488" s="15"/>
      <c r="G488" s="15"/>
    </row>
    <row r="489" ht="15.75" customHeight="1">
      <c r="A489" s="15"/>
      <c r="B489" s="15"/>
      <c r="C489" s="15"/>
      <c r="D489" s="15"/>
      <c r="E489" s="15"/>
      <c r="F489" s="15"/>
      <c r="G489" s="15"/>
    </row>
    <row r="490" ht="15.75" customHeight="1">
      <c r="A490" s="15"/>
      <c r="B490" s="15"/>
      <c r="C490" s="15"/>
      <c r="D490" s="15"/>
      <c r="E490" s="15"/>
      <c r="F490" s="15"/>
      <c r="G490" s="15"/>
    </row>
    <row r="491" ht="15.75" customHeight="1">
      <c r="A491" s="15"/>
      <c r="B491" s="15"/>
      <c r="C491" s="15"/>
      <c r="D491" s="15"/>
      <c r="E491" s="15"/>
      <c r="F491" s="15"/>
      <c r="G491" s="15"/>
    </row>
    <row r="492" ht="15.75" customHeight="1">
      <c r="A492" s="15"/>
      <c r="B492" s="15"/>
      <c r="C492" s="15"/>
      <c r="D492" s="15"/>
      <c r="E492" s="15"/>
      <c r="F492" s="15"/>
      <c r="G492" s="15"/>
    </row>
    <row r="493" ht="15.75" customHeight="1">
      <c r="A493" s="15"/>
      <c r="B493" s="15"/>
      <c r="C493" s="15"/>
      <c r="D493" s="15"/>
      <c r="E493" s="15"/>
      <c r="F493" s="15"/>
      <c r="G493" s="15"/>
    </row>
    <row r="494" ht="15.75" customHeight="1">
      <c r="A494" s="15"/>
      <c r="B494" s="15"/>
      <c r="C494" s="15"/>
      <c r="D494" s="15"/>
      <c r="E494" s="15"/>
      <c r="F494" s="15"/>
      <c r="G494" s="15"/>
    </row>
    <row r="495" ht="15.75" customHeight="1">
      <c r="A495" s="15"/>
      <c r="B495" s="15"/>
      <c r="C495" s="15"/>
      <c r="D495" s="15"/>
      <c r="E495" s="15"/>
      <c r="F495" s="15"/>
      <c r="G495" s="15"/>
    </row>
    <row r="496" ht="15.75" customHeight="1">
      <c r="A496" s="15"/>
      <c r="B496" s="15"/>
      <c r="C496" s="15"/>
      <c r="D496" s="15"/>
      <c r="E496" s="15"/>
      <c r="F496" s="15"/>
      <c r="G496" s="15"/>
    </row>
    <row r="497" ht="15.75" customHeight="1">
      <c r="A497" s="15"/>
      <c r="B497" s="15"/>
      <c r="C497" s="15"/>
      <c r="D497" s="15"/>
      <c r="E497" s="15"/>
      <c r="F497" s="15"/>
      <c r="G497" s="15"/>
    </row>
    <row r="498" ht="15.75" customHeight="1">
      <c r="A498" s="15"/>
      <c r="B498" s="15"/>
      <c r="C498" s="15"/>
      <c r="D498" s="15"/>
      <c r="E498" s="15"/>
      <c r="F498" s="15"/>
      <c r="G498" s="15"/>
    </row>
    <row r="499" ht="15.75" customHeight="1">
      <c r="A499" s="15"/>
      <c r="B499" s="15"/>
      <c r="C499" s="15"/>
      <c r="D499" s="15"/>
      <c r="E499" s="15"/>
      <c r="F499" s="15"/>
      <c r="G499" s="15"/>
    </row>
    <row r="500" ht="15.75" customHeight="1">
      <c r="A500" s="15"/>
      <c r="B500" s="15"/>
      <c r="C500" s="15"/>
      <c r="D500" s="15"/>
      <c r="E500" s="15"/>
      <c r="F500" s="15"/>
      <c r="G500" s="15"/>
    </row>
    <row r="501" ht="15.75" customHeight="1">
      <c r="A501" s="15"/>
      <c r="B501" s="15"/>
      <c r="C501" s="15"/>
      <c r="D501" s="15"/>
      <c r="E501" s="15"/>
      <c r="F501" s="15"/>
      <c r="G501" s="15"/>
    </row>
    <row r="502" ht="15.75" customHeight="1">
      <c r="A502" s="15"/>
      <c r="B502" s="15"/>
      <c r="C502" s="15"/>
      <c r="D502" s="15"/>
      <c r="E502" s="15"/>
      <c r="F502" s="15"/>
      <c r="G502" s="15"/>
    </row>
    <row r="503" ht="15.75" customHeight="1">
      <c r="A503" s="15"/>
      <c r="B503" s="15"/>
      <c r="C503" s="15"/>
      <c r="D503" s="15"/>
      <c r="E503" s="15"/>
      <c r="F503" s="15"/>
      <c r="G503" s="15"/>
    </row>
    <row r="504" ht="15.75" customHeight="1">
      <c r="A504" s="15"/>
      <c r="B504" s="15"/>
      <c r="C504" s="15"/>
      <c r="D504" s="15"/>
      <c r="E504" s="15"/>
      <c r="F504" s="15"/>
      <c r="G504" s="15"/>
    </row>
    <row r="505" ht="15.75" customHeight="1">
      <c r="A505" s="15"/>
      <c r="B505" s="15"/>
      <c r="C505" s="15"/>
      <c r="D505" s="15"/>
      <c r="E505" s="15"/>
      <c r="F505" s="15"/>
      <c r="G505" s="15"/>
    </row>
    <row r="506" ht="15.75" customHeight="1">
      <c r="A506" s="15"/>
      <c r="B506" s="15"/>
      <c r="C506" s="15"/>
      <c r="D506" s="15"/>
      <c r="E506" s="15"/>
      <c r="F506" s="15"/>
      <c r="G506" s="15"/>
    </row>
    <row r="507" ht="15.75" customHeight="1">
      <c r="A507" s="15"/>
      <c r="B507" s="15"/>
      <c r="C507" s="15"/>
      <c r="D507" s="15"/>
      <c r="E507" s="15"/>
      <c r="F507" s="15"/>
      <c r="G507" s="15"/>
    </row>
    <row r="508" ht="15.75" customHeight="1">
      <c r="A508" s="15"/>
      <c r="B508" s="15"/>
      <c r="C508" s="15"/>
      <c r="D508" s="15"/>
      <c r="E508" s="15"/>
      <c r="F508" s="15"/>
      <c r="G508" s="15"/>
    </row>
    <row r="509" ht="15.75" customHeight="1">
      <c r="A509" s="15"/>
      <c r="B509" s="15"/>
      <c r="C509" s="15"/>
      <c r="D509" s="15"/>
      <c r="E509" s="15"/>
      <c r="F509" s="15"/>
      <c r="G509" s="15"/>
    </row>
    <row r="510" ht="15.75" customHeight="1">
      <c r="A510" s="15"/>
      <c r="B510" s="15"/>
      <c r="C510" s="15"/>
      <c r="D510" s="15"/>
      <c r="E510" s="15"/>
      <c r="F510" s="15"/>
      <c r="G510" s="15"/>
    </row>
    <row r="511" ht="15.75" customHeight="1">
      <c r="A511" s="15"/>
      <c r="B511" s="15"/>
      <c r="C511" s="15"/>
      <c r="D511" s="15"/>
      <c r="E511" s="15"/>
      <c r="F511" s="15"/>
      <c r="G511" s="15"/>
    </row>
    <row r="512" ht="15.75" customHeight="1">
      <c r="A512" s="15"/>
      <c r="B512" s="15"/>
      <c r="C512" s="15"/>
      <c r="D512" s="15"/>
      <c r="E512" s="15"/>
      <c r="F512" s="15"/>
      <c r="G512" s="15"/>
    </row>
    <row r="513" ht="15.75" customHeight="1">
      <c r="A513" s="15"/>
      <c r="B513" s="15"/>
      <c r="C513" s="15"/>
      <c r="D513" s="15"/>
      <c r="E513" s="15"/>
      <c r="F513" s="15"/>
      <c r="G513" s="15"/>
    </row>
    <row r="514" ht="15.75" customHeight="1">
      <c r="A514" s="15"/>
      <c r="B514" s="15"/>
      <c r="C514" s="15"/>
      <c r="D514" s="15"/>
      <c r="E514" s="15"/>
      <c r="F514" s="15"/>
      <c r="G514" s="15"/>
    </row>
    <row r="515" ht="15.75" customHeight="1">
      <c r="A515" s="15"/>
      <c r="B515" s="15"/>
      <c r="C515" s="15"/>
      <c r="D515" s="15"/>
      <c r="E515" s="15"/>
      <c r="F515" s="15"/>
      <c r="G515" s="15"/>
    </row>
    <row r="516" ht="15.75" customHeight="1">
      <c r="A516" s="15"/>
      <c r="B516" s="15"/>
      <c r="C516" s="15"/>
      <c r="D516" s="15"/>
      <c r="E516" s="15"/>
      <c r="F516" s="15"/>
      <c r="G516" s="15"/>
    </row>
    <row r="517" ht="15.75" customHeight="1">
      <c r="A517" s="15"/>
      <c r="B517" s="15"/>
      <c r="C517" s="15"/>
      <c r="D517" s="15"/>
      <c r="E517" s="15"/>
      <c r="F517" s="15"/>
      <c r="G517" s="15"/>
    </row>
    <row r="518" ht="15.75" customHeight="1">
      <c r="A518" s="15"/>
      <c r="B518" s="15"/>
      <c r="C518" s="15"/>
      <c r="D518" s="15"/>
      <c r="E518" s="15"/>
      <c r="F518" s="15"/>
      <c r="G518" s="15"/>
    </row>
    <row r="519" ht="15.75" customHeight="1">
      <c r="A519" s="15"/>
      <c r="B519" s="15"/>
      <c r="C519" s="15"/>
      <c r="D519" s="15"/>
      <c r="E519" s="15"/>
      <c r="F519" s="15"/>
      <c r="G519" s="15"/>
    </row>
    <row r="520" ht="15.75" customHeight="1">
      <c r="A520" s="15"/>
      <c r="B520" s="15"/>
      <c r="C520" s="15"/>
      <c r="D520" s="15"/>
      <c r="E520" s="15"/>
      <c r="F520" s="15"/>
      <c r="G520" s="15"/>
    </row>
    <row r="521" ht="15.75" customHeight="1">
      <c r="A521" s="15"/>
      <c r="B521" s="15"/>
      <c r="C521" s="15"/>
      <c r="D521" s="15"/>
      <c r="E521" s="15"/>
      <c r="F521" s="15"/>
      <c r="G521" s="15"/>
    </row>
    <row r="522" ht="15.75" customHeight="1">
      <c r="A522" s="15"/>
      <c r="B522" s="15"/>
      <c r="C522" s="15"/>
      <c r="D522" s="15"/>
      <c r="E522" s="15"/>
      <c r="F522" s="15"/>
      <c r="G522" s="15"/>
    </row>
    <row r="523" ht="15.75" customHeight="1">
      <c r="A523" s="15"/>
      <c r="B523" s="15"/>
      <c r="C523" s="15"/>
      <c r="D523" s="15"/>
      <c r="E523" s="15"/>
      <c r="F523" s="15"/>
      <c r="G523" s="15"/>
    </row>
    <row r="524" ht="15.75" customHeight="1">
      <c r="A524" s="15"/>
      <c r="B524" s="15"/>
      <c r="C524" s="15"/>
      <c r="D524" s="15"/>
      <c r="E524" s="15"/>
      <c r="F524" s="15"/>
      <c r="G524" s="15"/>
    </row>
    <row r="525" ht="15.75" customHeight="1">
      <c r="A525" s="15"/>
      <c r="B525" s="15"/>
      <c r="C525" s="15"/>
      <c r="D525" s="15"/>
      <c r="E525" s="15"/>
      <c r="F525" s="15"/>
      <c r="G525" s="15"/>
    </row>
    <row r="526" ht="15.75" customHeight="1">
      <c r="A526" s="15"/>
      <c r="B526" s="15"/>
      <c r="C526" s="15"/>
      <c r="D526" s="15"/>
      <c r="E526" s="15"/>
      <c r="F526" s="15"/>
      <c r="G526" s="15"/>
    </row>
    <row r="527" ht="15.75" customHeight="1">
      <c r="A527" s="15"/>
      <c r="B527" s="15"/>
      <c r="C527" s="15"/>
      <c r="D527" s="15"/>
      <c r="E527" s="15"/>
      <c r="F527" s="15"/>
      <c r="G527" s="15"/>
    </row>
    <row r="528" ht="15.75" customHeight="1">
      <c r="A528" s="15"/>
      <c r="B528" s="15"/>
      <c r="C528" s="15"/>
      <c r="D528" s="15"/>
      <c r="E528" s="15"/>
      <c r="F528" s="15"/>
      <c r="G528" s="15"/>
    </row>
    <row r="529" ht="15.75" customHeight="1">
      <c r="A529" s="15"/>
      <c r="B529" s="15"/>
      <c r="C529" s="15"/>
      <c r="D529" s="15"/>
      <c r="E529" s="15"/>
      <c r="F529" s="15"/>
      <c r="G529" s="15"/>
    </row>
    <row r="530" ht="15.75" customHeight="1">
      <c r="A530" s="15"/>
      <c r="B530" s="15"/>
      <c r="C530" s="15"/>
      <c r="D530" s="15"/>
      <c r="E530" s="15"/>
      <c r="F530" s="15"/>
      <c r="G530" s="15"/>
    </row>
    <row r="531" ht="15.75" customHeight="1">
      <c r="A531" s="15"/>
      <c r="B531" s="15"/>
      <c r="C531" s="15"/>
      <c r="D531" s="15"/>
      <c r="E531" s="15"/>
      <c r="F531" s="15"/>
      <c r="G531" s="15"/>
    </row>
    <row r="532" ht="15.75" customHeight="1">
      <c r="A532" s="15"/>
      <c r="B532" s="15"/>
      <c r="C532" s="15"/>
      <c r="D532" s="15"/>
      <c r="E532" s="15"/>
      <c r="F532" s="15"/>
      <c r="G532" s="15"/>
    </row>
    <row r="533" ht="15.75" customHeight="1">
      <c r="A533" s="15"/>
      <c r="B533" s="15"/>
      <c r="C533" s="15"/>
      <c r="D533" s="15"/>
      <c r="E533" s="15"/>
      <c r="F533" s="15"/>
      <c r="G533" s="15"/>
    </row>
    <row r="534" ht="15.75" customHeight="1">
      <c r="A534" s="15"/>
      <c r="B534" s="15"/>
      <c r="C534" s="15"/>
      <c r="D534" s="15"/>
      <c r="E534" s="15"/>
      <c r="F534" s="15"/>
      <c r="G534" s="15"/>
    </row>
    <row r="535" ht="15.75" customHeight="1">
      <c r="A535" s="15"/>
      <c r="B535" s="15"/>
      <c r="C535" s="15"/>
      <c r="D535" s="15"/>
      <c r="E535" s="15"/>
      <c r="F535" s="15"/>
      <c r="G535" s="15"/>
    </row>
    <row r="536" ht="15.75" customHeight="1">
      <c r="A536" s="15"/>
      <c r="B536" s="15"/>
      <c r="C536" s="15"/>
      <c r="D536" s="15"/>
      <c r="E536" s="15"/>
      <c r="F536" s="15"/>
      <c r="G536" s="15"/>
    </row>
    <row r="537" ht="15.75" customHeight="1">
      <c r="A537" s="15"/>
      <c r="B537" s="15"/>
      <c r="C537" s="15"/>
      <c r="D537" s="15"/>
      <c r="E537" s="15"/>
      <c r="F537" s="15"/>
      <c r="G537" s="15"/>
    </row>
    <row r="538" ht="15.75" customHeight="1">
      <c r="A538" s="15"/>
      <c r="B538" s="15"/>
      <c r="C538" s="15"/>
      <c r="D538" s="15"/>
      <c r="E538" s="15"/>
      <c r="F538" s="15"/>
      <c r="G538" s="15"/>
    </row>
    <row r="539" ht="15.75" customHeight="1">
      <c r="A539" s="15"/>
      <c r="B539" s="15"/>
      <c r="C539" s="15"/>
      <c r="D539" s="15"/>
      <c r="E539" s="15"/>
      <c r="F539" s="15"/>
      <c r="G539" s="15"/>
    </row>
    <row r="540" ht="15.75" customHeight="1">
      <c r="A540" s="15"/>
      <c r="B540" s="15"/>
      <c r="C540" s="15"/>
      <c r="D540" s="15"/>
      <c r="E540" s="15"/>
      <c r="F540" s="15"/>
      <c r="G540" s="15"/>
    </row>
    <row r="541" ht="15.75" customHeight="1">
      <c r="A541" s="15"/>
      <c r="B541" s="15"/>
      <c r="C541" s="15"/>
      <c r="D541" s="15"/>
      <c r="E541" s="15"/>
      <c r="F541" s="15"/>
      <c r="G541" s="15"/>
    </row>
    <row r="542" ht="15.75" customHeight="1">
      <c r="A542" s="15"/>
      <c r="B542" s="15"/>
      <c r="C542" s="15"/>
      <c r="D542" s="15"/>
      <c r="E542" s="15"/>
      <c r="F542" s="15"/>
      <c r="G542" s="15"/>
    </row>
    <row r="543" ht="15.75" customHeight="1">
      <c r="A543" s="15"/>
      <c r="B543" s="15"/>
      <c r="C543" s="15"/>
      <c r="D543" s="15"/>
      <c r="E543" s="15"/>
      <c r="F543" s="15"/>
      <c r="G543" s="15"/>
    </row>
    <row r="544" ht="15.75" customHeight="1">
      <c r="A544" s="15"/>
      <c r="B544" s="15"/>
      <c r="C544" s="15"/>
      <c r="D544" s="15"/>
      <c r="E544" s="15"/>
      <c r="F544" s="15"/>
      <c r="G544" s="15"/>
    </row>
    <row r="545" ht="15.75" customHeight="1">
      <c r="A545" s="15"/>
      <c r="B545" s="15"/>
      <c r="C545" s="15"/>
      <c r="D545" s="15"/>
      <c r="E545" s="15"/>
      <c r="F545" s="15"/>
      <c r="G545" s="15"/>
    </row>
    <row r="546" ht="15.75" customHeight="1">
      <c r="A546" s="15"/>
      <c r="B546" s="15"/>
      <c r="C546" s="15"/>
      <c r="D546" s="15"/>
      <c r="E546" s="15"/>
      <c r="F546" s="15"/>
      <c r="G546" s="15"/>
    </row>
    <row r="547" ht="15.75" customHeight="1">
      <c r="A547" s="15"/>
      <c r="B547" s="15"/>
      <c r="C547" s="15"/>
      <c r="D547" s="15"/>
      <c r="E547" s="15"/>
      <c r="F547" s="15"/>
      <c r="G547" s="15"/>
    </row>
    <row r="548" ht="15.75" customHeight="1">
      <c r="A548" s="15"/>
      <c r="B548" s="15"/>
      <c r="C548" s="15"/>
      <c r="D548" s="15"/>
      <c r="E548" s="15"/>
      <c r="F548" s="15"/>
      <c r="G548" s="15"/>
    </row>
    <row r="549" ht="15.75" customHeight="1">
      <c r="A549" s="15"/>
      <c r="B549" s="15"/>
      <c r="C549" s="15"/>
      <c r="D549" s="15"/>
      <c r="E549" s="15"/>
      <c r="F549" s="15"/>
      <c r="G549" s="15"/>
    </row>
    <row r="550" ht="15.75" customHeight="1">
      <c r="A550" s="15"/>
      <c r="B550" s="15"/>
      <c r="C550" s="15"/>
      <c r="D550" s="15"/>
      <c r="E550" s="15"/>
      <c r="F550" s="15"/>
      <c r="G550" s="15"/>
    </row>
    <row r="551" ht="15.75" customHeight="1">
      <c r="A551" s="15"/>
      <c r="B551" s="15"/>
      <c r="C551" s="15"/>
      <c r="D551" s="15"/>
      <c r="E551" s="15"/>
      <c r="F551" s="15"/>
      <c r="G551" s="15"/>
    </row>
    <row r="552" ht="15.75" customHeight="1">
      <c r="A552" s="15"/>
      <c r="B552" s="15"/>
      <c r="C552" s="15"/>
      <c r="D552" s="15"/>
      <c r="E552" s="15"/>
      <c r="F552" s="15"/>
      <c r="G552" s="15"/>
    </row>
    <row r="553" ht="15.75" customHeight="1">
      <c r="A553" s="15"/>
      <c r="B553" s="15"/>
      <c r="C553" s="15"/>
      <c r="D553" s="15"/>
      <c r="E553" s="15"/>
      <c r="F553" s="15"/>
      <c r="G553" s="15"/>
    </row>
    <row r="554" ht="15.75" customHeight="1">
      <c r="A554" s="15"/>
      <c r="B554" s="15"/>
      <c r="C554" s="15"/>
      <c r="D554" s="15"/>
      <c r="E554" s="15"/>
      <c r="F554" s="15"/>
      <c r="G554" s="15"/>
    </row>
    <row r="555" ht="15.75" customHeight="1">
      <c r="A555" s="15"/>
      <c r="B555" s="15"/>
      <c r="C555" s="15"/>
      <c r="D555" s="15"/>
      <c r="E555" s="15"/>
      <c r="F555" s="15"/>
      <c r="G555" s="15"/>
    </row>
    <row r="556" ht="15.75" customHeight="1">
      <c r="A556" s="15"/>
      <c r="B556" s="15"/>
      <c r="C556" s="15"/>
      <c r="D556" s="15"/>
      <c r="E556" s="15"/>
      <c r="F556" s="15"/>
      <c r="G556" s="15"/>
    </row>
    <row r="557" ht="15.75" customHeight="1">
      <c r="A557" s="15"/>
      <c r="B557" s="15"/>
      <c r="C557" s="15"/>
      <c r="D557" s="15"/>
      <c r="E557" s="15"/>
      <c r="F557" s="15"/>
      <c r="G557" s="15"/>
    </row>
    <row r="558" ht="15.75" customHeight="1">
      <c r="A558" s="15"/>
      <c r="B558" s="15"/>
      <c r="C558" s="15"/>
      <c r="D558" s="15"/>
      <c r="E558" s="15"/>
      <c r="F558" s="15"/>
      <c r="G558" s="15"/>
    </row>
    <row r="559" ht="15.75" customHeight="1">
      <c r="A559" s="15"/>
      <c r="B559" s="15"/>
      <c r="C559" s="15"/>
      <c r="D559" s="15"/>
      <c r="E559" s="15"/>
      <c r="F559" s="15"/>
      <c r="G559" s="15"/>
    </row>
    <row r="560" ht="15.75" customHeight="1">
      <c r="A560" s="15"/>
      <c r="B560" s="15"/>
      <c r="C560" s="15"/>
      <c r="D560" s="15"/>
      <c r="E560" s="15"/>
      <c r="F560" s="15"/>
      <c r="G560" s="15"/>
    </row>
    <row r="561" ht="15.75" customHeight="1">
      <c r="A561" s="15"/>
      <c r="B561" s="15"/>
      <c r="C561" s="15"/>
      <c r="D561" s="15"/>
      <c r="E561" s="15"/>
      <c r="F561" s="15"/>
      <c r="G561" s="15"/>
    </row>
    <row r="562" ht="15.75" customHeight="1">
      <c r="A562" s="15"/>
      <c r="B562" s="15"/>
      <c r="C562" s="15"/>
      <c r="D562" s="15"/>
      <c r="E562" s="15"/>
      <c r="F562" s="15"/>
      <c r="G562" s="15"/>
    </row>
    <row r="563" ht="15.75" customHeight="1">
      <c r="A563" s="15"/>
      <c r="B563" s="15"/>
      <c r="C563" s="15"/>
      <c r="D563" s="15"/>
      <c r="E563" s="15"/>
      <c r="F563" s="15"/>
      <c r="G563" s="15"/>
    </row>
    <row r="564" ht="15.75" customHeight="1">
      <c r="A564" s="15"/>
      <c r="B564" s="15"/>
      <c r="C564" s="15"/>
      <c r="D564" s="15"/>
      <c r="E564" s="15"/>
      <c r="F564" s="15"/>
      <c r="G564" s="15"/>
    </row>
    <row r="565" ht="15.75" customHeight="1">
      <c r="A565" s="15"/>
      <c r="B565" s="15"/>
      <c r="C565" s="15"/>
      <c r="D565" s="15"/>
      <c r="E565" s="15"/>
      <c r="F565" s="15"/>
      <c r="G565" s="15"/>
    </row>
    <row r="566" ht="15.75" customHeight="1">
      <c r="A566" s="15"/>
      <c r="B566" s="15"/>
      <c r="C566" s="15"/>
      <c r="D566" s="15"/>
      <c r="E566" s="15"/>
      <c r="F566" s="15"/>
      <c r="G566" s="15"/>
    </row>
    <row r="567" ht="15.75" customHeight="1">
      <c r="A567" s="15"/>
      <c r="B567" s="15"/>
      <c r="C567" s="15"/>
      <c r="D567" s="15"/>
      <c r="E567" s="15"/>
      <c r="F567" s="15"/>
      <c r="G567" s="15"/>
    </row>
    <row r="568" ht="15.75" customHeight="1">
      <c r="A568" s="15"/>
      <c r="B568" s="15"/>
      <c r="C568" s="15"/>
      <c r="D568" s="15"/>
      <c r="E568" s="15"/>
      <c r="F568" s="15"/>
      <c r="G568" s="15"/>
    </row>
    <row r="569" ht="15.75" customHeight="1">
      <c r="A569" s="15"/>
      <c r="B569" s="15"/>
      <c r="C569" s="15"/>
      <c r="D569" s="15"/>
      <c r="E569" s="15"/>
      <c r="F569" s="15"/>
      <c r="G569" s="15"/>
    </row>
    <row r="570" ht="15.75" customHeight="1">
      <c r="A570" s="15"/>
      <c r="B570" s="15"/>
      <c r="C570" s="15"/>
      <c r="D570" s="15"/>
      <c r="E570" s="15"/>
      <c r="F570" s="15"/>
      <c r="G570" s="15"/>
    </row>
    <row r="571" ht="15.75" customHeight="1">
      <c r="A571" s="15"/>
      <c r="B571" s="15"/>
      <c r="C571" s="15"/>
      <c r="D571" s="15"/>
      <c r="E571" s="15"/>
      <c r="F571" s="15"/>
      <c r="G571" s="15"/>
    </row>
    <row r="572" ht="15.75" customHeight="1">
      <c r="A572" s="15"/>
      <c r="B572" s="15"/>
      <c r="C572" s="15"/>
      <c r="D572" s="15"/>
      <c r="E572" s="15"/>
      <c r="F572" s="15"/>
      <c r="G572" s="15"/>
    </row>
    <row r="573" ht="15.75" customHeight="1">
      <c r="A573" s="15"/>
      <c r="B573" s="15"/>
      <c r="C573" s="15"/>
      <c r="D573" s="15"/>
      <c r="E573" s="15"/>
      <c r="F573" s="15"/>
      <c r="G573" s="15"/>
    </row>
    <row r="574" ht="15.75" customHeight="1">
      <c r="A574" s="15"/>
      <c r="B574" s="15"/>
      <c r="C574" s="15"/>
      <c r="D574" s="15"/>
      <c r="E574" s="15"/>
      <c r="F574" s="15"/>
      <c r="G574" s="15"/>
    </row>
    <row r="575" ht="15.75" customHeight="1">
      <c r="A575" s="15"/>
      <c r="B575" s="15"/>
      <c r="C575" s="15"/>
      <c r="D575" s="15"/>
      <c r="E575" s="15"/>
      <c r="F575" s="15"/>
      <c r="G575" s="15"/>
    </row>
    <row r="576" ht="15.75" customHeight="1">
      <c r="A576" s="15"/>
      <c r="B576" s="15"/>
      <c r="C576" s="15"/>
      <c r="D576" s="15"/>
      <c r="E576" s="15"/>
      <c r="F576" s="15"/>
      <c r="G576" s="15"/>
    </row>
    <row r="577" ht="15.75" customHeight="1">
      <c r="A577" s="15"/>
      <c r="B577" s="15"/>
      <c r="C577" s="15"/>
      <c r="D577" s="15"/>
      <c r="E577" s="15"/>
      <c r="F577" s="15"/>
      <c r="G577" s="15"/>
    </row>
    <row r="578" ht="15.75" customHeight="1">
      <c r="A578" s="15"/>
      <c r="B578" s="15"/>
      <c r="C578" s="15"/>
      <c r="D578" s="15"/>
      <c r="E578" s="15"/>
      <c r="F578" s="15"/>
      <c r="G578" s="15"/>
    </row>
    <row r="579" ht="15.75" customHeight="1">
      <c r="A579" s="15"/>
      <c r="B579" s="15"/>
      <c r="C579" s="15"/>
      <c r="D579" s="15"/>
      <c r="E579" s="15"/>
      <c r="F579" s="15"/>
      <c r="G579" s="15"/>
    </row>
    <row r="580" ht="15.75" customHeight="1">
      <c r="A580" s="15"/>
      <c r="B580" s="15"/>
      <c r="C580" s="15"/>
      <c r="D580" s="15"/>
      <c r="E580" s="15"/>
      <c r="F580" s="15"/>
      <c r="G580" s="15"/>
    </row>
    <row r="581" ht="15.75" customHeight="1">
      <c r="A581" s="15"/>
      <c r="B581" s="15"/>
      <c r="C581" s="15"/>
      <c r="D581" s="15"/>
      <c r="E581" s="15"/>
      <c r="F581" s="15"/>
      <c r="G581" s="15"/>
    </row>
    <row r="582" ht="15.75" customHeight="1">
      <c r="A582" s="15"/>
      <c r="B582" s="15"/>
      <c r="C582" s="15"/>
      <c r="D582" s="15"/>
      <c r="E582" s="15"/>
      <c r="F582" s="15"/>
      <c r="G582" s="15"/>
    </row>
    <row r="583" ht="15.75" customHeight="1">
      <c r="A583" s="15"/>
      <c r="B583" s="15"/>
      <c r="C583" s="15"/>
      <c r="D583" s="15"/>
      <c r="E583" s="15"/>
      <c r="F583" s="15"/>
      <c r="G583" s="15"/>
    </row>
    <row r="584" ht="15.75" customHeight="1">
      <c r="A584" s="15"/>
      <c r="B584" s="15"/>
      <c r="C584" s="15"/>
      <c r="D584" s="15"/>
      <c r="E584" s="15"/>
      <c r="F584" s="15"/>
      <c r="G584" s="15"/>
    </row>
    <row r="585" ht="15.75" customHeight="1">
      <c r="A585" s="15"/>
      <c r="B585" s="15"/>
      <c r="C585" s="15"/>
      <c r="D585" s="15"/>
      <c r="E585" s="15"/>
      <c r="F585" s="15"/>
      <c r="G585" s="15"/>
    </row>
    <row r="586" ht="15.75" customHeight="1">
      <c r="A586" s="15"/>
      <c r="B586" s="15"/>
      <c r="C586" s="15"/>
      <c r="D586" s="15"/>
      <c r="E586" s="15"/>
      <c r="F586" s="15"/>
      <c r="G586" s="15"/>
    </row>
    <row r="587" ht="15.75" customHeight="1">
      <c r="A587" s="15"/>
      <c r="B587" s="15"/>
      <c r="C587" s="15"/>
      <c r="D587" s="15"/>
      <c r="E587" s="15"/>
      <c r="F587" s="15"/>
      <c r="G587" s="15"/>
    </row>
    <row r="588" ht="15.75" customHeight="1">
      <c r="A588" s="15"/>
      <c r="B588" s="15"/>
      <c r="C588" s="15"/>
      <c r="D588" s="15"/>
      <c r="E588" s="15"/>
      <c r="F588" s="15"/>
      <c r="G588" s="15"/>
    </row>
    <row r="589" ht="15.75" customHeight="1">
      <c r="A589" s="15"/>
      <c r="B589" s="15"/>
      <c r="C589" s="15"/>
      <c r="D589" s="15"/>
      <c r="E589" s="15"/>
      <c r="F589" s="15"/>
      <c r="G589" s="15"/>
    </row>
    <row r="590" ht="15.75" customHeight="1">
      <c r="A590" s="15"/>
      <c r="B590" s="15"/>
      <c r="C590" s="15"/>
      <c r="D590" s="15"/>
      <c r="E590" s="15"/>
      <c r="F590" s="15"/>
      <c r="G590" s="15"/>
    </row>
    <row r="591" ht="15.75" customHeight="1">
      <c r="A591" s="15"/>
      <c r="B591" s="15"/>
      <c r="C591" s="15"/>
      <c r="D591" s="15"/>
      <c r="E591" s="15"/>
      <c r="F591" s="15"/>
      <c r="G591" s="15"/>
    </row>
    <row r="592" ht="15.75" customHeight="1">
      <c r="A592" s="15"/>
      <c r="B592" s="15"/>
      <c r="C592" s="15"/>
      <c r="D592" s="15"/>
      <c r="E592" s="15"/>
      <c r="F592" s="15"/>
      <c r="G592" s="15"/>
    </row>
    <row r="593" ht="15.75" customHeight="1">
      <c r="A593" s="15"/>
      <c r="B593" s="15"/>
      <c r="C593" s="15"/>
      <c r="D593" s="15"/>
      <c r="E593" s="15"/>
      <c r="F593" s="15"/>
      <c r="G593" s="15"/>
    </row>
    <row r="594" ht="15.75" customHeight="1">
      <c r="A594" s="15"/>
      <c r="B594" s="15"/>
      <c r="C594" s="15"/>
      <c r="D594" s="15"/>
      <c r="E594" s="15"/>
      <c r="F594" s="15"/>
      <c r="G594" s="15"/>
    </row>
    <row r="595" ht="15.75" customHeight="1">
      <c r="A595" s="15"/>
      <c r="B595" s="15"/>
      <c r="C595" s="15"/>
      <c r="D595" s="15"/>
      <c r="E595" s="15"/>
      <c r="F595" s="15"/>
      <c r="G595" s="15"/>
    </row>
    <row r="596" ht="15.75" customHeight="1">
      <c r="A596" s="15"/>
      <c r="B596" s="15"/>
      <c r="C596" s="15"/>
      <c r="D596" s="15"/>
      <c r="E596" s="15"/>
      <c r="F596" s="15"/>
      <c r="G596" s="15"/>
    </row>
    <row r="597" ht="15.75" customHeight="1">
      <c r="A597" s="15"/>
      <c r="B597" s="15"/>
      <c r="C597" s="15"/>
      <c r="D597" s="15"/>
      <c r="E597" s="15"/>
      <c r="F597" s="15"/>
      <c r="G597" s="15"/>
    </row>
    <row r="598" ht="15.75" customHeight="1">
      <c r="A598" s="15"/>
      <c r="B598" s="15"/>
      <c r="C598" s="15"/>
      <c r="D598" s="15"/>
      <c r="E598" s="15"/>
      <c r="F598" s="15"/>
      <c r="G598" s="15"/>
    </row>
    <row r="599" ht="15.75" customHeight="1">
      <c r="A599" s="15"/>
      <c r="B599" s="15"/>
      <c r="C599" s="15"/>
      <c r="D599" s="15"/>
      <c r="E599" s="15"/>
      <c r="F599" s="15"/>
      <c r="G599" s="15"/>
    </row>
    <row r="600" ht="15.75" customHeight="1">
      <c r="A600" s="15"/>
      <c r="B600" s="15"/>
      <c r="C600" s="15"/>
      <c r="D600" s="15"/>
      <c r="E600" s="15"/>
      <c r="F600" s="15"/>
      <c r="G600" s="15"/>
    </row>
    <row r="601" ht="15.75" customHeight="1">
      <c r="A601" s="15"/>
      <c r="B601" s="15"/>
      <c r="C601" s="15"/>
      <c r="D601" s="15"/>
      <c r="E601" s="15"/>
      <c r="F601" s="15"/>
      <c r="G601" s="15"/>
    </row>
    <row r="602" ht="15.75" customHeight="1">
      <c r="A602" s="15"/>
      <c r="B602" s="15"/>
      <c r="C602" s="15"/>
      <c r="D602" s="15"/>
      <c r="E602" s="15"/>
      <c r="F602" s="15"/>
      <c r="G602" s="15"/>
    </row>
    <row r="603" ht="15.75" customHeight="1">
      <c r="A603" s="15"/>
      <c r="B603" s="15"/>
      <c r="C603" s="15"/>
      <c r="D603" s="15"/>
      <c r="E603" s="15"/>
      <c r="F603" s="15"/>
      <c r="G603" s="15"/>
    </row>
    <row r="604" ht="15.75" customHeight="1">
      <c r="A604" s="15"/>
      <c r="B604" s="15"/>
      <c r="C604" s="15"/>
      <c r="D604" s="15"/>
      <c r="E604" s="15"/>
      <c r="F604" s="15"/>
      <c r="G604" s="15"/>
    </row>
    <row r="605" ht="15.75" customHeight="1">
      <c r="A605" s="15"/>
      <c r="B605" s="15"/>
      <c r="C605" s="15"/>
      <c r="D605" s="15"/>
      <c r="E605" s="15"/>
      <c r="F605" s="15"/>
      <c r="G605" s="15"/>
    </row>
    <row r="606" ht="15.75" customHeight="1">
      <c r="A606" s="15"/>
      <c r="B606" s="15"/>
      <c r="C606" s="15"/>
      <c r="D606" s="15"/>
      <c r="E606" s="15"/>
      <c r="F606" s="15"/>
      <c r="G606" s="15"/>
    </row>
    <row r="607" ht="15.75" customHeight="1">
      <c r="A607" s="15"/>
      <c r="B607" s="15"/>
      <c r="C607" s="15"/>
      <c r="D607" s="15"/>
      <c r="E607" s="15"/>
      <c r="F607" s="15"/>
      <c r="G607" s="15"/>
    </row>
    <row r="608" ht="15.75" customHeight="1">
      <c r="A608" s="15"/>
      <c r="B608" s="15"/>
      <c r="C608" s="15"/>
      <c r="D608" s="15"/>
      <c r="E608" s="15"/>
      <c r="F608" s="15"/>
      <c r="G608" s="15"/>
    </row>
    <row r="609" ht="15.75" customHeight="1">
      <c r="A609" s="15"/>
      <c r="B609" s="15"/>
      <c r="C609" s="15"/>
      <c r="D609" s="15"/>
      <c r="E609" s="15"/>
      <c r="F609" s="15"/>
      <c r="G609" s="15"/>
    </row>
    <row r="610" ht="15.75" customHeight="1">
      <c r="A610" s="15"/>
      <c r="B610" s="15"/>
      <c r="C610" s="15"/>
      <c r="D610" s="15"/>
      <c r="E610" s="15"/>
      <c r="F610" s="15"/>
      <c r="G610" s="15"/>
    </row>
    <row r="611" ht="15.75" customHeight="1">
      <c r="A611" s="15"/>
      <c r="B611" s="15"/>
      <c r="C611" s="15"/>
      <c r="D611" s="15"/>
      <c r="E611" s="15"/>
      <c r="F611" s="15"/>
      <c r="G611" s="15"/>
    </row>
    <row r="612" ht="15.75" customHeight="1">
      <c r="A612" s="15"/>
      <c r="B612" s="15"/>
      <c r="C612" s="15"/>
      <c r="D612" s="15"/>
      <c r="E612" s="15"/>
      <c r="F612" s="15"/>
      <c r="G612" s="15"/>
    </row>
    <row r="613" ht="15.75" customHeight="1">
      <c r="A613" s="15"/>
      <c r="B613" s="15"/>
      <c r="C613" s="15"/>
      <c r="D613" s="15"/>
      <c r="E613" s="15"/>
      <c r="F613" s="15"/>
      <c r="G613" s="15"/>
    </row>
    <row r="614" ht="15.75" customHeight="1">
      <c r="A614" s="15"/>
      <c r="B614" s="15"/>
      <c r="C614" s="15"/>
      <c r="D614" s="15"/>
      <c r="E614" s="15"/>
      <c r="F614" s="15"/>
      <c r="G614" s="15"/>
    </row>
    <row r="615" ht="15.75" customHeight="1">
      <c r="A615" s="15"/>
      <c r="B615" s="15"/>
      <c r="C615" s="15"/>
      <c r="D615" s="15"/>
      <c r="E615" s="15"/>
      <c r="F615" s="15"/>
      <c r="G615" s="15"/>
    </row>
    <row r="616" ht="15.75" customHeight="1">
      <c r="A616" s="15"/>
      <c r="B616" s="15"/>
      <c r="C616" s="15"/>
      <c r="D616" s="15"/>
      <c r="E616" s="15"/>
      <c r="F616" s="15"/>
      <c r="G616" s="15"/>
    </row>
    <row r="617" ht="15.75" customHeight="1">
      <c r="A617" s="15"/>
      <c r="B617" s="15"/>
      <c r="C617" s="15"/>
      <c r="D617" s="15"/>
      <c r="E617" s="15"/>
      <c r="F617" s="15"/>
      <c r="G617" s="15"/>
    </row>
    <row r="618" ht="15.75" customHeight="1">
      <c r="A618" s="15"/>
      <c r="B618" s="15"/>
      <c r="C618" s="15"/>
      <c r="D618" s="15"/>
      <c r="E618" s="15"/>
      <c r="F618" s="15"/>
      <c r="G618" s="15"/>
    </row>
    <row r="619" ht="15.75" customHeight="1">
      <c r="A619" s="15"/>
      <c r="B619" s="15"/>
      <c r="C619" s="15"/>
      <c r="D619" s="15"/>
      <c r="E619" s="15"/>
      <c r="F619" s="15"/>
      <c r="G619" s="15"/>
    </row>
    <row r="620" ht="15.75" customHeight="1">
      <c r="A620" s="15"/>
      <c r="B620" s="15"/>
      <c r="C620" s="15"/>
      <c r="D620" s="15"/>
      <c r="E620" s="15"/>
      <c r="F620" s="15"/>
      <c r="G620" s="15"/>
    </row>
    <row r="621" ht="15.75" customHeight="1">
      <c r="A621" s="15"/>
      <c r="B621" s="15"/>
      <c r="C621" s="15"/>
      <c r="D621" s="15"/>
      <c r="E621" s="15"/>
      <c r="F621" s="15"/>
      <c r="G621" s="15"/>
    </row>
    <row r="622" ht="15.75" customHeight="1">
      <c r="A622" s="15"/>
      <c r="B622" s="15"/>
      <c r="C622" s="15"/>
      <c r="D622" s="15"/>
      <c r="E622" s="15"/>
      <c r="F622" s="15"/>
      <c r="G622" s="15"/>
    </row>
    <row r="623" ht="15.75" customHeight="1">
      <c r="A623" s="15"/>
      <c r="B623" s="15"/>
      <c r="C623" s="15"/>
      <c r="D623" s="15"/>
      <c r="E623" s="15"/>
      <c r="F623" s="15"/>
      <c r="G623" s="15"/>
    </row>
    <row r="624" ht="15.75" customHeight="1">
      <c r="A624" s="15"/>
      <c r="B624" s="15"/>
      <c r="C624" s="15"/>
      <c r="D624" s="15"/>
      <c r="E624" s="15"/>
      <c r="F624" s="15"/>
      <c r="G624" s="15"/>
    </row>
    <row r="625" ht="15.75" customHeight="1">
      <c r="A625" s="15"/>
      <c r="B625" s="15"/>
      <c r="C625" s="15"/>
      <c r="D625" s="15"/>
      <c r="E625" s="15"/>
      <c r="F625" s="15"/>
      <c r="G625" s="15"/>
    </row>
    <row r="626" ht="15.75" customHeight="1">
      <c r="A626" s="15"/>
      <c r="B626" s="15"/>
      <c r="C626" s="15"/>
      <c r="D626" s="15"/>
      <c r="E626" s="15"/>
      <c r="F626" s="15"/>
      <c r="G626" s="15"/>
    </row>
    <row r="627" ht="15.75" customHeight="1">
      <c r="A627" s="15"/>
      <c r="B627" s="15"/>
      <c r="C627" s="15"/>
      <c r="D627" s="15"/>
      <c r="E627" s="15"/>
      <c r="F627" s="15"/>
      <c r="G627" s="15"/>
    </row>
    <row r="628" ht="15.75" customHeight="1">
      <c r="A628" s="15"/>
      <c r="B628" s="15"/>
      <c r="C628" s="15"/>
      <c r="D628" s="15"/>
      <c r="E628" s="15"/>
      <c r="F628" s="15"/>
      <c r="G628" s="15"/>
    </row>
    <row r="629" ht="15.75" customHeight="1">
      <c r="A629" s="15"/>
      <c r="B629" s="15"/>
      <c r="C629" s="15"/>
      <c r="D629" s="15"/>
      <c r="E629" s="15"/>
      <c r="F629" s="15"/>
      <c r="G629" s="15"/>
    </row>
    <row r="630" ht="15.75" customHeight="1">
      <c r="A630" s="15"/>
      <c r="B630" s="15"/>
      <c r="C630" s="15"/>
      <c r="D630" s="15"/>
      <c r="E630" s="15"/>
      <c r="F630" s="15"/>
      <c r="G630" s="15"/>
    </row>
    <row r="631" ht="15.75" customHeight="1">
      <c r="A631" s="15"/>
      <c r="B631" s="15"/>
      <c r="C631" s="15"/>
      <c r="D631" s="15"/>
      <c r="E631" s="15"/>
      <c r="F631" s="15"/>
      <c r="G631" s="15"/>
    </row>
    <row r="632" ht="15.75" customHeight="1">
      <c r="A632" s="15"/>
      <c r="B632" s="15"/>
      <c r="C632" s="15"/>
      <c r="D632" s="15"/>
      <c r="E632" s="15"/>
      <c r="F632" s="15"/>
      <c r="G632" s="15"/>
    </row>
    <row r="633" ht="15.75" customHeight="1">
      <c r="A633" s="15"/>
      <c r="B633" s="15"/>
      <c r="C633" s="15"/>
      <c r="D633" s="15"/>
      <c r="E633" s="15"/>
      <c r="F633" s="15"/>
      <c r="G633" s="15"/>
    </row>
    <row r="634" ht="15.75" customHeight="1">
      <c r="A634" s="15"/>
      <c r="B634" s="15"/>
      <c r="C634" s="15"/>
      <c r="D634" s="15"/>
      <c r="E634" s="15"/>
      <c r="F634" s="15"/>
      <c r="G634" s="15"/>
    </row>
    <row r="635" ht="15.75" customHeight="1">
      <c r="A635" s="15"/>
      <c r="B635" s="15"/>
      <c r="C635" s="15"/>
      <c r="D635" s="15"/>
      <c r="E635" s="15"/>
      <c r="F635" s="15"/>
      <c r="G635" s="15"/>
    </row>
    <row r="636" ht="15.75" customHeight="1">
      <c r="A636" s="15"/>
      <c r="B636" s="15"/>
      <c r="C636" s="15"/>
      <c r="D636" s="15"/>
      <c r="E636" s="15"/>
      <c r="F636" s="15"/>
      <c r="G636" s="15"/>
    </row>
    <row r="637" ht="15.75" customHeight="1">
      <c r="A637" s="15"/>
      <c r="B637" s="15"/>
      <c r="C637" s="15"/>
      <c r="D637" s="15"/>
      <c r="E637" s="15"/>
      <c r="F637" s="15"/>
      <c r="G637" s="15"/>
    </row>
    <row r="638" ht="15.75" customHeight="1">
      <c r="A638" s="15"/>
      <c r="B638" s="15"/>
      <c r="C638" s="15"/>
      <c r="D638" s="15"/>
      <c r="E638" s="15"/>
      <c r="F638" s="15"/>
      <c r="G638" s="15"/>
    </row>
    <row r="639" ht="15.75" customHeight="1">
      <c r="A639" s="15"/>
      <c r="B639" s="15"/>
      <c r="C639" s="15"/>
      <c r="D639" s="15"/>
      <c r="E639" s="15"/>
      <c r="F639" s="15"/>
      <c r="G639" s="15"/>
    </row>
    <row r="640" ht="15.75" customHeight="1">
      <c r="A640" s="15"/>
      <c r="B640" s="15"/>
      <c r="C640" s="15"/>
      <c r="D640" s="15"/>
      <c r="E640" s="15"/>
      <c r="F640" s="15"/>
      <c r="G640" s="15"/>
    </row>
    <row r="641" ht="15.75" customHeight="1">
      <c r="A641" s="15"/>
      <c r="B641" s="15"/>
      <c r="C641" s="15"/>
      <c r="D641" s="15"/>
      <c r="E641" s="15"/>
      <c r="F641" s="15"/>
      <c r="G641" s="15"/>
    </row>
    <row r="642" ht="15.75" customHeight="1">
      <c r="A642" s="15"/>
      <c r="B642" s="15"/>
      <c r="C642" s="15"/>
      <c r="D642" s="15"/>
      <c r="E642" s="15"/>
      <c r="F642" s="15"/>
      <c r="G642" s="15"/>
    </row>
    <row r="643" ht="15.75" customHeight="1">
      <c r="A643" s="15"/>
      <c r="B643" s="15"/>
      <c r="C643" s="15"/>
      <c r="D643" s="15"/>
      <c r="E643" s="15"/>
      <c r="F643" s="15"/>
      <c r="G643" s="15"/>
    </row>
    <row r="644" ht="15.75" customHeight="1">
      <c r="A644" s="15"/>
      <c r="B644" s="15"/>
      <c r="C644" s="15"/>
      <c r="D644" s="15"/>
      <c r="E644" s="15"/>
      <c r="F644" s="15"/>
      <c r="G644" s="15"/>
    </row>
    <row r="645" ht="15.75" customHeight="1">
      <c r="A645" s="15"/>
      <c r="B645" s="15"/>
      <c r="C645" s="15"/>
      <c r="D645" s="15"/>
      <c r="E645" s="15"/>
      <c r="F645" s="15"/>
      <c r="G645" s="15"/>
    </row>
    <row r="646" ht="15.75" customHeight="1">
      <c r="A646" s="15"/>
      <c r="B646" s="15"/>
      <c r="C646" s="15"/>
      <c r="D646" s="15"/>
      <c r="E646" s="15"/>
      <c r="F646" s="15"/>
      <c r="G646" s="15"/>
    </row>
    <row r="647" ht="15.75" customHeight="1">
      <c r="A647" s="15"/>
      <c r="B647" s="15"/>
      <c r="C647" s="15"/>
      <c r="D647" s="15"/>
      <c r="E647" s="15"/>
      <c r="F647" s="15"/>
      <c r="G647" s="15"/>
    </row>
    <row r="648" ht="15.75" customHeight="1">
      <c r="A648" s="15"/>
      <c r="B648" s="15"/>
      <c r="C648" s="15"/>
      <c r="D648" s="15"/>
      <c r="E648" s="15"/>
      <c r="F648" s="15"/>
      <c r="G648" s="15"/>
    </row>
    <row r="649" ht="15.75" customHeight="1">
      <c r="A649" s="15"/>
      <c r="B649" s="15"/>
      <c r="C649" s="15"/>
      <c r="D649" s="15"/>
      <c r="E649" s="15"/>
      <c r="F649" s="15"/>
      <c r="G649" s="15"/>
    </row>
    <row r="650" ht="15.75" customHeight="1">
      <c r="A650" s="15"/>
      <c r="B650" s="15"/>
      <c r="C650" s="15"/>
      <c r="D650" s="15"/>
      <c r="E650" s="15"/>
      <c r="F650" s="15"/>
      <c r="G650" s="15"/>
    </row>
    <row r="651" ht="15.75" customHeight="1">
      <c r="A651" s="15"/>
      <c r="B651" s="15"/>
      <c r="C651" s="15"/>
      <c r="D651" s="15"/>
      <c r="E651" s="15"/>
      <c r="F651" s="15"/>
      <c r="G651" s="15"/>
    </row>
    <row r="652" ht="15.75" customHeight="1">
      <c r="A652" s="15"/>
      <c r="B652" s="15"/>
      <c r="C652" s="15"/>
      <c r="D652" s="15"/>
      <c r="E652" s="15"/>
      <c r="F652" s="15"/>
      <c r="G652" s="15"/>
    </row>
    <row r="653" ht="15.75" customHeight="1">
      <c r="A653" s="15"/>
      <c r="B653" s="15"/>
      <c r="C653" s="15"/>
      <c r="D653" s="15"/>
      <c r="E653" s="15"/>
      <c r="F653" s="15"/>
      <c r="G653" s="15"/>
    </row>
    <row r="654" ht="15.75" customHeight="1">
      <c r="A654" s="15"/>
      <c r="B654" s="15"/>
      <c r="C654" s="15"/>
      <c r="D654" s="15"/>
      <c r="E654" s="15"/>
      <c r="F654" s="15"/>
      <c r="G654" s="15"/>
    </row>
    <row r="655" ht="15.75" customHeight="1">
      <c r="A655" s="15"/>
      <c r="B655" s="15"/>
      <c r="C655" s="15"/>
      <c r="D655" s="15"/>
      <c r="E655" s="15"/>
      <c r="F655" s="15"/>
      <c r="G655" s="15"/>
    </row>
    <row r="656" ht="15.75" customHeight="1">
      <c r="A656" s="15"/>
      <c r="B656" s="15"/>
      <c r="C656" s="15"/>
      <c r="D656" s="15"/>
      <c r="E656" s="15"/>
      <c r="F656" s="15"/>
      <c r="G656" s="15"/>
    </row>
    <row r="657" ht="15.75" customHeight="1">
      <c r="A657" s="15"/>
      <c r="B657" s="15"/>
      <c r="C657" s="15"/>
      <c r="D657" s="15"/>
      <c r="E657" s="15"/>
      <c r="F657" s="15"/>
      <c r="G657" s="15"/>
    </row>
    <row r="658" ht="15.75" customHeight="1">
      <c r="A658" s="15"/>
      <c r="B658" s="15"/>
      <c r="C658" s="15"/>
      <c r="D658" s="15"/>
      <c r="E658" s="15"/>
      <c r="F658" s="15"/>
      <c r="G658" s="15"/>
    </row>
    <row r="659" ht="15.75" customHeight="1">
      <c r="A659" s="15"/>
      <c r="B659" s="15"/>
      <c r="C659" s="15"/>
      <c r="D659" s="15"/>
      <c r="E659" s="15"/>
      <c r="F659" s="15"/>
      <c r="G659" s="15"/>
    </row>
    <row r="660" ht="15.75" customHeight="1">
      <c r="A660" s="15"/>
      <c r="B660" s="15"/>
      <c r="C660" s="15"/>
      <c r="D660" s="15"/>
      <c r="E660" s="15"/>
      <c r="F660" s="15"/>
      <c r="G660" s="15"/>
    </row>
    <row r="661" ht="15.75" customHeight="1">
      <c r="A661" s="15"/>
      <c r="B661" s="15"/>
      <c r="C661" s="15"/>
      <c r="D661" s="15"/>
      <c r="E661" s="15"/>
      <c r="F661" s="15"/>
      <c r="G661" s="15"/>
    </row>
    <row r="662" ht="15.75" customHeight="1">
      <c r="A662" s="15"/>
      <c r="B662" s="15"/>
      <c r="C662" s="15"/>
      <c r="D662" s="15"/>
      <c r="E662" s="15"/>
      <c r="F662" s="15"/>
      <c r="G662" s="15"/>
    </row>
    <row r="663" ht="15.75" customHeight="1">
      <c r="A663" s="15"/>
      <c r="B663" s="15"/>
      <c r="C663" s="15"/>
      <c r="D663" s="15"/>
      <c r="E663" s="15"/>
      <c r="F663" s="15"/>
      <c r="G663" s="15"/>
    </row>
    <row r="664" ht="15.75" customHeight="1">
      <c r="A664" s="15"/>
      <c r="B664" s="15"/>
      <c r="C664" s="15"/>
      <c r="D664" s="15"/>
      <c r="E664" s="15"/>
      <c r="F664" s="15"/>
      <c r="G664" s="15"/>
    </row>
    <row r="665" ht="15.75" customHeight="1">
      <c r="A665" s="15"/>
      <c r="B665" s="15"/>
      <c r="C665" s="15"/>
      <c r="D665" s="15"/>
      <c r="E665" s="15"/>
      <c r="F665" s="15"/>
      <c r="G665" s="15"/>
    </row>
    <row r="666" ht="15.75" customHeight="1">
      <c r="A666" s="15"/>
      <c r="B666" s="15"/>
      <c r="C666" s="15"/>
      <c r="D666" s="15"/>
      <c r="E666" s="15"/>
      <c r="F666" s="15"/>
      <c r="G666" s="15"/>
    </row>
    <row r="667" ht="15.75" customHeight="1">
      <c r="A667" s="15"/>
      <c r="B667" s="15"/>
      <c r="C667" s="15"/>
      <c r="D667" s="15"/>
      <c r="E667" s="15"/>
      <c r="F667" s="15"/>
      <c r="G667" s="15"/>
    </row>
    <row r="668" ht="15.75" customHeight="1">
      <c r="A668" s="15"/>
      <c r="B668" s="15"/>
      <c r="C668" s="15"/>
      <c r="D668" s="15"/>
      <c r="E668" s="15"/>
      <c r="F668" s="15"/>
      <c r="G668" s="15"/>
    </row>
    <row r="669" ht="15.75" customHeight="1">
      <c r="A669" s="15"/>
      <c r="B669" s="15"/>
      <c r="C669" s="15"/>
      <c r="D669" s="15"/>
      <c r="E669" s="15"/>
      <c r="F669" s="15"/>
      <c r="G669" s="15"/>
    </row>
    <row r="670" ht="15.75" customHeight="1">
      <c r="A670" s="15"/>
      <c r="B670" s="15"/>
      <c r="C670" s="15"/>
      <c r="D670" s="15"/>
      <c r="E670" s="15"/>
      <c r="F670" s="15"/>
      <c r="G670" s="15"/>
    </row>
    <row r="671" ht="15.75" customHeight="1">
      <c r="A671" s="15"/>
      <c r="B671" s="15"/>
      <c r="C671" s="15"/>
      <c r="D671" s="15"/>
      <c r="E671" s="15"/>
      <c r="F671" s="15"/>
      <c r="G671" s="15"/>
    </row>
    <row r="672" ht="15.75" customHeight="1">
      <c r="A672" s="15"/>
      <c r="B672" s="15"/>
      <c r="C672" s="15"/>
      <c r="D672" s="15"/>
      <c r="E672" s="15"/>
      <c r="F672" s="15"/>
      <c r="G672" s="15"/>
    </row>
    <row r="673" ht="15.75" customHeight="1">
      <c r="A673" s="15"/>
      <c r="B673" s="15"/>
      <c r="C673" s="15"/>
      <c r="D673" s="15"/>
      <c r="E673" s="15"/>
      <c r="F673" s="15"/>
      <c r="G673" s="15"/>
    </row>
    <row r="674" ht="15.75" customHeight="1">
      <c r="A674" s="15"/>
      <c r="B674" s="15"/>
      <c r="C674" s="15"/>
      <c r="D674" s="15"/>
      <c r="E674" s="15"/>
      <c r="F674" s="15"/>
      <c r="G674" s="15"/>
    </row>
    <row r="675" ht="15.75" customHeight="1">
      <c r="A675" s="15"/>
      <c r="B675" s="15"/>
      <c r="C675" s="15"/>
      <c r="D675" s="15"/>
      <c r="E675" s="15"/>
      <c r="F675" s="15"/>
      <c r="G675" s="15"/>
    </row>
    <row r="676" ht="15.75" customHeight="1">
      <c r="A676" s="15"/>
      <c r="B676" s="15"/>
      <c r="C676" s="15"/>
      <c r="D676" s="15"/>
      <c r="E676" s="15"/>
      <c r="F676" s="15"/>
      <c r="G676" s="15"/>
    </row>
    <row r="677" ht="15.75" customHeight="1">
      <c r="A677" s="15"/>
      <c r="B677" s="15"/>
      <c r="C677" s="15"/>
      <c r="D677" s="15"/>
      <c r="E677" s="15"/>
      <c r="F677" s="15"/>
      <c r="G677" s="15"/>
    </row>
    <row r="678" ht="15.75" customHeight="1">
      <c r="A678" s="15"/>
      <c r="B678" s="15"/>
      <c r="C678" s="15"/>
      <c r="D678" s="15"/>
      <c r="E678" s="15"/>
      <c r="F678" s="15"/>
      <c r="G678" s="15"/>
    </row>
    <row r="679" ht="15.75" customHeight="1">
      <c r="A679" s="15"/>
      <c r="B679" s="15"/>
      <c r="C679" s="15"/>
      <c r="D679" s="15"/>
      <c r="E679" s="15"/>
      <c r="F679" s="15"/>
      <c r="G679" s="15"/>
    </row>
    <row r="680" ht="15.75" customHeight="1">
      <c r="A680" s="15"/>
      <c r="B680" s="15"/>
      <c r="C680" s="15"/>
      <c r="D680" s="15"/>
      <c r="E680" s="15"/>
      <c r="F680" s="15"/>
      <c r="G680" s="15"/>
    </row>
    <row r="681" ht="15.75" customHeight="1">
      <c r="A681" s="15"/>
      <c r="B681" s="15"/>
      <c r="C681" s="15"/>
      <c r="D681" s="15"/>
      <c r="E681" s="15"/>
      <c r="F681" s="15"/>
      <c r="G681" s="15"/>
    </row>
    <row r="682" ht="15.75" customHeight="1">
      <c r="A682" s="15"/>
      <c r="B682" s="15"/>
      <c r="C682" s="15"/>
      <c r="D682" s="15"/>
      <c r="E682" s="15"/>
      <c r="F682" s="15"/>
      <c r="G682" s="15"/>
    </row>
    <row r="683" ht="15.75" customHeight="1">
      <c r="A683" s="15"/>
      <c r="B683" s="15"/>
      <c r="C683" s="15"/>
      <c r="D683" s="15"/>
      <c r="E683" s="15"/>
      <c r="F683" s="15"/>
      <c r="G683" s="15"/>
    </row>
    <row r="684" ht="15.75" customHeight="1">
      <c r="A684" s="15"/>
      <c r="B684" s="15"/>
      <c r="C684" s="15"/>
      <c r="D684" s="15"/>
      <c r="E684" s="15"/>
      <c r="F684" s="15"/>
      <c r="G684" s="15"/>
    </row>
    <row r="685" ht="15.75" customHeight="1">
      <c r="A685" s="15"/>
      <c r="B685" s="15"/>
      <c r="C685" s="15"/>
      <c r="D685" s="15"/>
      <c r="E685" s="15"/>
      <c r="F685" s="15"/>
      <c r="G685" s="15"/>
    </row>
    <row r="686" ht="15.75" customHeight="1">
      <c r="A686" s="15"/>
      <c r="B686" s="15"/>
      <c r="C686" s="15"/>
      <c r="D686" s="15"/>
      <c r="E686" s="15"/>
      <c r="F686" s="15"/>
      <c r="G686" s="15"/>
    </row>
    <row r="687" ht="15.75" customHeight="1">
      <c r="A687" s="15"/>
      <c r="B687" s="15"/>
      <c r="C687" s="15"/>
      <c r="D687" s="15"/>
      <c r="E687" s="15"/>
      <c r="F687" s="15"/>
      <c r="G687" s="15"/>
    </row>
    <row r="688" ht="15.75" customHeight="1">
      <c r="A688" s="15"/>
      <c r="B688" s="15"/>
      <c r="C688" s="15"/>
      <c r="D688" s="15"/>
      <c r="E688" s="15"/>
      <c r="F688" s="15"/>
      <c r="G688" s="15"/>
    </row>
    <row r="689" ht="15.75" customHeight="1">
      <c r="A689" s="15"/>
      <c r="B689" s="15"/>
      <c r="C689" s="15"/>
      <c r="D689" s="15"/>
      <c r="E689" s="15"/>
      <c r="F689" s="15"/>
      <c r="G689" s="15"/>
    </row>
    <row r="690" ht="15.75" customHeight="1">
      <c r="A690" s="15"/>
      <c r="B690" s="15"/>
      <c r="C690" s="15"/>
      <c r="D690" s="15"/>
      <c r="E690" s="15"/>
      <c r="F690" s="15"/>
      <c r="G690" s="15"/>
    </row>
    <row r="691" ht="15.75" customHeight="1">
      <c r="A691" s="15"/>
      <c r="B691" s="15"/>
      <c r="C691" s="15"/>
      <c r="D691" s="15"/>
      <c r="E691" s="15"/>
      <c r="F691" s="15"/>
      <c r="G691" s="15"/>
    </row>
    <row r="692" ht="15.75" customHeight="1">
      <c r="A692" s="15"/>
      <c r="B692" s="15"/>
      <c r="C692" s="15"/>
      <c r="D692" s="15"/>
      <c r="E692" s="15"/>
      <c r="F692" s="15"/>
      <c r="G692" s="15"/>
    </row>
    <row r="693" ht="15.75" customHeight="1">
      <c r="A693" s="15"/>
      <c r="B693" s="15"/>
      <c r="C693" s="15"/>
      <c r="D693" s="15"/>
      <c r="E693" s="15"/>
      <c r="F693" s="15"/>
      <c r="G693" s="15"/>
    </row>
    <row r="694" ht="15.75" customHeight="1">
      <c r="A694" s="15"/>
      <c r="B694" s="15"/>
      <c r="C694" s="15"/>
      <c r="D694" s="15"/>
      <c r="E694" s="15"/>
      <c r="F694" s="15"/>
      <c r="G694" s="15"/>
    </row>
    <row r="695" ht="15.75" customHeight="1">
      <c r="A695" s="15"/>
      <c r="B695" s="15"/>
      <c r="C695" s="15"/>
      <c r="D695" s="15"/>
      <c r="E695" s="15"/>
      <c r="F695" s="15"/>
      <c r="G695" s="15"/>
    </row>
    <row r="696" ht="15.75" customHeight="1">
      <c r="A696" s="15"/>
      <c r="B696" s="15"/>
      <c r="C696" s="15"/>
      <c r="D696" s="15"/>
      <c r="E696" s="15"/>
      <c r="F696" s="15"/>
      <c r="G696" s="15"/>
    </row>
    <row r="697" ht="15.75" customHeight="1">
      <c r="A697" s="15"/>
      <c r="B697" s="15"/>
      <c r="C697" s="15"/>
      <c r="D697" s="15"/>
      <c r="E697" s="15"/>
      <c r="F697" s="15"/>
      <c r="G697" s="15"/>
    </row>
    <row r="698" ht="15.75" customHeight="1">
      <c r="A698" s="15"/>
      <c r="B698" s="15"/>
      <c r="C698" s="15"/>
      <c r="D698" s="15"/>
      <c r="E698" s="15"/>
      <c r="F698" s="15"/>
      <c r="G698" s="15"/>
    </row>
    <row r="699" ht="15.75" customHeight="1">
      <c r="A699" s="15"/>
      <c r="B699" s="15"/>
      <c r="C699" s="15"/>
      <c r="D699" s="15"/>
      <c r="E699" s="15"/>
      <c r="F699" s="15"/>
      <c r="G699" s="15"/>
    </row>
    <row r="700" ht="15.75" customHeight="1">
      <c r="A700" s="15"/>
      <c r="B700" s="15"/>
      <c r="C700" s="15"/>
      <c r="D700" s="15"/>
      <c r="E700" s="15"/>
      <c r="F700" s="15"/>
      <c r="G700" s="15"/>
    </row>
    <row r="701" ht="15.75" customHeight="1">
      <c r="A701" s="15"/>
      <c r="B701" s="15"/>
      <c r="C701" s="15"/>
      <c r="D701" s="15"/>
      <c r="E701" s="15"/>
      <c r="F701" s="15"/>
      <c r="G701" s="15"/>
    </row>
    <row r="702" ht="15.75" customHeight="1">
      <c r="A702" s="15"/>
      <c r="B702" s="15"/>
      <c r="C702" s="15"/>
      <c r="D702" s="15"/>
      <c r="E702" s="15"/>
      <c r="F702" s="15"/>
      <c r="G702" s="15"/>
    </row>
    <row r="703" ht="15.75" customHeight="1">
      <c r="A703" s="15"/>
      <c r="B703" s="15"/>
      <c r="C703" s="15"/>
      <c r="D703" s="15"/>
      <c r="E703" s="15"/>
      <c r="F703" s="15"/>
      <c r="G703" s="15"/>
    </row>
    <row r="704" ht="15.75" customHeight="1">
      <c r="A704" s="15"/>
      <c r="B704" s="15"/>
      <c r="C704" s="15"/>
      <c r="D704" s="15"/>
      <c r="E704" s="15"/>
      <c r="F704" s="15"/>
      <c r="G704" s="15"/>
    </row>
    <row r="705" ht="15.75" customHeight="1">
      <c r="A705" s="15"/>
      <c r="B705" s="15"/>
      <c r="C705" s="15"/>
      <c r="D705" s="15"/>
      <c r="E705" s="15"/>
      <c r="F705" s="15"/>
      <c r="G705" s="15"/>
    </row>
    <row r="706" ht="15.75" customHeight="1">
      <c r="A706" s="15"/>
      <c r="B706" s="15"/>
      <c r="C706" s="15"/>
      <c r="D706" s="15"/>
      <c r="E706" s="15"/>
      <c r="F706" s="15"/>
      <c r="G706" s="15"/>
    </row>
    <row r="707" ht="15.75" customHeight="1">
      <c r="A707" s="15"/>
      <c r="B707" s="15"/>
      <c r="C707" s="15"/>
      <c r="D707" s="15"/>
      <c r="E707" s="15"/>
      <c r="F707" s="15"/>
      <c r="G707" s="15"/>
    </row>
    <row r="708" ht="15.75" customHeight="1">
      <c r="A708" s="15"/>
      <c r="B708" s="15"/>
      <c r="C708" s="15"/>
      <c r="D708" s="15"/>
      <c r="E708" s="15"/>
      <c r="F708" s="15"/>
      <c r="G708" s="15"/>
    </row>
    <row r="709" ht="15.75" customHeight="1">
      <c r="A709" s="15"/>
      <c r="B709" s="15"/>
      <c r="C709" s="15"/>
      <c r="D709" s="15"/>
      <c r="E709" s="15"/>
      <c r="F709" s="15"/>
      <c r="G709" s="15"/>
    </row>
    <row r="710" ht="15.75" customHeight="1">
      <c r="A710" s="15"/>
      <c r="B710" s="15"/>
      <c r="C710" s="15"/>
      <c r="D710" s="15"/>
      <c r="E710" s="15"/>
      <c r="F710" s="15"/>
      <c r="G710" s="15"/>
    </row>
    <row r="711" ht="15.75" customHeight="1">
      <c r="A711" s="15"/>
      <c r="B711" s="15"/>
      <c r="C711" s="15"/>
      <c r="D711" s="15"/>
      <c r="E711" s="15"/>
      <c r="F711" s="15"/>
      <c r="G711" s="15"/>
    </row>
    <row r="712" ht="15.75" customHeight="1">
      <c r="A712" s="15"/>
      <c r="B712" s="15"/>
      <c r="C712" s="15"/>
      <c r="D712" s="15"/>
      <c r="E712" s="15"/>
      <c r="F712" s="15"/>
      <c r="G712" s="15"/>
    </row>
    <row r="713" ht="15.75" customHeight="1">
      <c r="A713" s="15"/>
      <c r="B713" s="15"/>
      <c r="C713" s="15"/>
      <c r="D713" s="15"/>
      <c r="E713" s="15"/>
      <c r="F713" s="15"/>
      <c r="G713" s="15"/>
    </row>
    <row r="714" ht="15.75" customHeight="1">
      <c r="A714" s="15"/>
      <c r="B714" s="15"/>
      <c r="C714" s="15"/>
      <c r="D714" s="15"/>
      <c r="E714" s="15"/>
      <c r="F714" s="15"/>
      <c r="G714" s="15"/>
    </row>
    <row r="715" ht="15.75" customHeight="1">
      <c r="A715" s="15"/>
      <c r="B715" s="15"/>
      <c r="C715" s="15"/>
      <c r="D715" s="15"/>
      <c r="E715" s="15"/>
      <c r="F715" s="15"/>
      <c r="G715" s="15"/>
    </row>
    <row r="716" ht="15.75" customHeight="1">
      <c r="A716" s="15"/>
      <c r="B716" s="15"/>
      <c r="C716" s="15"/>
      <c r="D716" s="15"/>
      <c r="E716" s="15"/>
      <c r="F716" s="15"/>
      <c r="G716" s="15"/>
    </row>
    <row r="717" ht="15.75" customHeight="1">
      <c r="A717" s="15"/>
      <c r="B717" s="15"/>
      <c r="C717" s="15"/>
      <c r="D717" s="15"/>
      <c r="E717" s="15"/>
      <c r="F717" s="15"/>
      <c r="G717" s="15"/>
    </row>
    <row r="718" ht="15.75" customHeight="1">
      <c r="A718" s="15"/>
      <c r="B718" s="15"/>
      <c r="C718" s="15"/>
      <c r="D718" s="15"/>
      <c r="E718" s="15"/>
      <c r="F718" s="15"/>
      <c r="G718" s="15"/>
    </row>
    <row r="719" ht="15.75" customHeight="1">
      <c r="A719" s="15"/>
      <c r="B719" s="15"/>
      <c r="C719" s="15"/>
      <c r="D719" s="15"/>
      <c r="E719" s="15"/>
      <c r="F719" s="15"/>
      <c r="G719" s="15"/>
    </row>
    <row r="720" ht="15.75" customHeight="1">
      <c r="A720" s="15"/>
      <c r="B720" s="15"/>
      <c r="C720" s="15"/>
      <c r="D720" s="15"/>
      <c r="E720" s="15"/>
      <c r="F720" s="15"/>
      <c r="G720" s="15"/>
    </row>
    <row r="721" ht="15.75" customHeight="1">
      <c r="A721" s="15"/>
      <c r="B721" s="15"/>
      <c r="C721" s="15"/>
      <c r="D721" s="15"/>
      <c r="E721" s="15"/>
      <c r="F721" s="15"/>
      <c r="G721" s="15"/>
    </row>
    <row r="722" ht="15.75" customHeight="1">
      <c r="A722" s="15"/>
      <c r="B722" s="15"/>
      <c r="C722" s="15"/>
      <c r="D722" s="15"/>
      <c r="E722" s="15"/>
      <c r="F722" s="15"/>
      <c r="G722" s="15"/>
    </row>
    <row r="723" ht="15.75" customHeight="1">
      <c r="A723" s="15"/>
      <c r="B723" s="15"/>
      <c r="C723" s="15"/>
      <c r="D723" s="15"/>
      <c r="E723" s="15"/>
      <c r="F723" s="15"/>
      <c r="G723" s="15"/>
    </row>
    <row r="724" ht="15.75" customHeight="1">
      <c r="A724" s="15"/>
      <c r="B724" s="15"/>
      <c r="C724" s="15"/>
      <c r="D724" s="15"/>
      <c r="E724" s="15"/>
      <c r="F724" s="15"/>
      <c r="G724" s="15"/>
    </row>
    <row r="725" ht="15.75" customHeight="1">
      <c r="A725" s="15"/>
      <c r="B725" s="15"/>
      <c r="C725" s="15"/>
      <c r="D725" s="15"/>
      <c r="E725" s="15"/>
      <c r="F725" s="15"/>
      <c r="G725" s="15"/>
    </row>
    <row r="726" ht="15.75" customHeight="1">
      <c r="A726" s="15"/>
      <c r="B726" s="15"/>
      <c r="C726" s="15"/>
      <c r="D726" s="15"/>
      <c r="E726" s="15"/>
      <c r="F726" s="15"/>
      <c r="G726" s="15"/>
    </row>
    <row r="727" ht="15.75" customHeight="1">
      <c r="A727" s="15"/>
      <c r="B727" s="15"/>
      <c r="C727" s="15"/>
      <c r="D727" s="15"/>
      <c r="E727" s="15"/>
      <c r="F727" s="15"/>
      <c r="G727" s="15"/>
    </row>
    <row r="728" ht="15.75" customHeight="1">
      <c r="A728" s="15"/>
      <c r="B728" s="15"/>
      <c r="C728" s="15"/>
      <c r="D728" s="15"/>
      <c r="E728" s="15"/>
      <c r="F728" s="15"/>
      <c r="G728" s="15"/>
    </row>
    <row r="729" ht="15.75" customHeight="1">
      <c r="A729" s="15"/>
      <c r="B729" s="15"/>
      <c r="C729" s="15"/>
      <c r="D729" s="15"/>
      <c r="E729" s="15"/>
      <c r="F729" s="15"/>
      <c r="G729" s="15"/>
    </row>
    <row r="730" ht="15.75" customHeight="1">
      <c r="A730" s="15"/>
      <c r="B730" s="15"/>
      <c r="C730" s="15"/>
      <c r="D730" s="15"/>
      <c r="E730" s="15"/>
      <c r="F730" s="15"/>
      <c r="G730" s="15"/>
    </row>
    <row r="731" ht="15.75" customHeight="1">
      <c r="A731" s="15"/>
      <c r="B731" s="15"/>
      <c r="C731" s="15"/>
      <c r="D731" s="15"/>
      <c r="E731" s="15"/>
      <c r="F731" s="15"/>
      <c r="G731" s="15"/>
    </row>
    <row r="732" ht="15.75" customHeight="1">
      <c r="A732" s="15"/>
      <c r="B732" s="15"/>
      <c r="C732" s="15"/>
      <c r="D732" s="15"/>
      <c r="E732" s="15"/>
      <c r="F732" s="15"/>
      <c r="G732" s="15"/>
    </row>
    <row r="733" ht="15.75" customHeight="1">
      <c r="A733" s="15"/>
      <c r="B733" s="15"/>
      <c r="C733" s="15"/>
      <c r="D733" s="15"/>
      <c r="E733" s="15"/>
      <c r="F733" s="15"/>
      <c r="G733" s="15"/>
    </row>
    <row r="734" ht="15.75" customHeight="1">
      <c r="A734" s="15"/>
      <c r="B734" s="15"/>
      <c r="C734" s="15"/>
      <c r="D734" s="15"/>
      <c r="E734" s="15"/>
      <c r="F734" s="15"/>
      <c r="G734" s="15"/>
    </row>
    <row r="735" ht="15.75" customHeight="1">
      <c r="A735" s="15"/>
      <c r="B735" s="15"/>
      <c r="C735" s="15"/>
      <c r="D735" s="15"/>
      <c r="E735" s="15"/>
      <c r="F735" s="15"/>
      <c r="G735" s="15"/>
    </row>
    <row r="736" ht="15.75" customHeight="1">
      <c r="A736" s="15"/>
      <c r="B736" s="15"/>
      <c r="C736" s="15"/>
      <c r="D736" s="15"/>
      <c r="E736" s="15"/>
      <c r="F736" s="15"/>
      <c r="G736" s="15"/>
    </row>
    <row r="737" ht="15.75" customHeight="1">
      <c r="A737" s="15"/>
      <c r="B737" s="15"/>
      <c r="C737" s="15"/>
      <c r="D737" s="15"/>
      <c r="E737" s="15"/>
      <c r="F737" s="15"/>
      <c r="G737" s="15"/>
    </row>
    <row r="738" ht="15.75" customHeight="1">
      <c r="A738" s="15"/>
      <c r="B738" s="15"/>
      <c r="C738" s="15"/>
      <c r="D738" s="15"/>
      <c r="E738" s="15"/>
      <c r="F738" s="15"/>
      <c r="G738" s="15"/>
    </row>
    <row r="739" ht="15.75" customHeight="1">
      <c r="A739" s="15"/>
      <c r="B739" s="15"/>
      <c r="C739" s="15"/>
      <c r="D739" s="15"/>
      <c r="E739" s="15"/>
      <c r="F739" s="15"/>
      <c r="G739" s="15"/>
    </row>
    <row r="740" ht="15.75" customHeight="1">
      <c r="A740" s="15"/>
      <c r="B740" s="15"/>
      <c r="C740" s="15"/>
      <c r="D740" s="15"/>
      <c r="E740" s="15"/>
      <c r="F740" s="15"/>
      <c r="G740" s="15"/>
    </row>
    <row r="741" ht="15.75" customHeight="1">
      <c r="A741" s="15"/>
      <c r="B741" s="15"/>
      <c r="C741" s="15"/>
      <c r="D741" s="15"/>
      <c r="E741" s="15"/>
      <c r="F741" s="15"/>
      <c r="G741" s="15"/>
    </row>
    <row r="742" ht="15.75" customHeight="1">
      <c r="A742" s="15"/>
      <c r="B742" s="15"/>
      <c r="C742" s="15"/>
      <c r="D742" s="15"/>
      <c r="E742" s="15"/>
      <c r="F742" s="15"/>
      <c r="G742" s="15"/>
    </row>
    <row r="743" ht="15.75" customHeight="1">
      <c r="A743" s="15"/>
      <c r="B743" s="15"/>
      <c r="C743" s="15"/>
      <c r="D743" s="15"/>
      <c r="E743" s="15"/>
      <c r="F743" s="15"/>
      <c r="G743" s="15"/>
    </row>
    <row r="744" ht="15.75" customHeight="1">
      <c r="A744" s="15"/>
      <c r="B744" s="15"/>
      <c r="C744" s="15"/>
      <c r="D744" s="15"/>
      <c r="E744" s="15"/>
      <c r="F744" s="15"/>
      <c r="G744" s="15"/>
    </row>
    <row r="745" ht="15.75" customHeight="1">
      <c r="A745" s="15"/>
      <c r="B745" s="15"/>
      <c r="C745" s="15"/>
      <c r="D745" s="15"/>
      <c r="E745" s="15"/>
      <c r="F745" s="15"/>
      <c r="G745" s="15"/>
    </row>
    <row r="746" ht="15.75" customHeight="1">
      <c r="A746" s="15"/>
      <c r="B746" s="15"/>
      <c r="C746" s="15"/>
      <c r="D746" s="15"/>
      <c r="E746" s="15"/>
      <c r="F746" s="15"/>
      <c r="G746" s="15"/>
    </row>
    <row r="747" ht="15.75" customHeight="1">
      <c r="A747" s="15"/>
      <c r="B747" s="15"/>
      <c r="C747" s="15"/>
      <c r="D747" s="15"/>
      <c r="E747" s="15"/>
      <c r="F747" s="15"/>
      <c r="G747" s="15"/>
    </row>
    <row r="748" ht="15.75" customHeight="1">
      <c r="A748" s="15"/>
      <c r="B748" s="15"/>
      <c r="C748" s="15"/>
      <c r="D748" s="15"/>
      <c r="E748" s="15"/>
      <c r="F748" s="15"/>
      <c r="G748" s="15"/>
    </row>
    <row r="749" ht="15.75" customHeight="1">
      <c r="A749" s="15"/>
      <c r="B749" s="15"/>
      <c r="C749" s="15"/>
      <c r="D749" s="15"/>
      <c r="E749" s="15"/>
      <c r="F749" s="15"/>
      <c r="G749" s="15"/>
    </row>
    <row r="750" ht="15.75" customHeight="1">
      <c r="A750" s="15"/>
      <c r="B750" s="15"/>
      <c r="C750" s="15"/>
      <c r="D750" s="15"/>
      <c r="E750" s="15"/>
      <c r="F750" s="15"/>
      <c r="G750" s="15"/>
    </row>
    <row r="751" ht="15.75" customHeight="1">
      <c r="A751" s="15"/>
      <c r="B751" s="15"/>
      <c r="C751" s="15"/>
      <c r="D751" s="15"/>
      <c r="E751" s="15"/>
      <c r="F751" s="15"/>
      <c r="G751" s="15"/>
    </row>
    <row r="752" ht="15.75" customHeight="1">
      <c r="A752" s="15"/>
      <c r="B752" s="15"/>
      <c r="C752" s="15"/>
      <c r="D752" s="15"/>
      <c r="E752" s="15"/>
      <c r="F752" s="15"/>
      <c r="G752" s="15"/>
    </row>
    <row r="753" ht="15.75" customHeight="1">
      <c r="A753" s="15"/>
      <c r="B753" s="15"/>
      <c r="C753" s="15"/>
      <c r="D753" s="15"/>
      <c r="E753" s="15"/>
      <c r="F753" s="15"/>
      <c r="G753" s="15"/>
    </row>
    <row r="754" ht="15.75" customHeight="1">
      <c r="A754" s="15"/>
      <c r="B754" s="15"/>
      <c r="C754" s="15"/>
      <c r="D754" s="15"/>
      <c r="E754" s="15"/>
      <c r="F754" s="15"/>
      <c r="G754" s="15"/>
    </row>
    <row r="755" ht="15.75" customHeight="1">
      <c r="A755" s="15"/>
      <c r="B755" s="15"/>
      <c r="C755" s="15"/>
      <c r="D755" s="15"/>
      <c r="E755" s="15"/>
      <c r="F755" s="15"/>
      <c r="G755" s="15"/>
    </row>
    <row r="756" ht="15.75" customHeight="1">
      <c r="A756" s="15"/>
      <c r="B756" s="15"/>
      <c r="C756" s="15"/>
      <c r="D756" s="15"/>
      <c r="E756" s="15"/>
      <c r="F756" s="15"/>
      <c r="G756" s="15"/>
    </row>
    <row r="757" ht="15.75" customHeight="1">
      <c r="A757" s="15"/>
      <c r="B757" s="15"/>
      <c r="C757" s="15"/>
      <c r="D757" s="15"/>
      <c r="E757" s="15"/>
      <c r="F757" s="15"/>
      <c r="G757" s="15"/>
    </row>
    <row r="758" ht="15.75" customHeight="1">
      <c r="A758" s="15"/>
      <c r="B758" s="15"/>
      <c r="C758" s="15"/>
      <c r="D758" s="15"/>
      <c r="E758" s="15"/>
      <c r="F758" s="15"/>
      <c r="G758" s="15"/>
    </row>
    <row r="759" ht="15.75" customHeight="1">
      <c r="A759" s="15"/>
      <c r="B759" s="15"/>
      <c r="C759" s="15"/>
      <c r="D759" s="15"/>
      <c r="E759" s="15"/>
      <c r="F759" s="15"/>
      <c r="G759" s="15"/>
    </row>
    <row r="760" ht="15.75" customHeight="1">
      <c r="A760" s="15"/>
      <c r="B760" s="15"/>
      <c r="C760" s="15"/>
      <c r="D760" s="15"/>
      <c r="E760" s="15"/>
      <c r="F760" s="15"/>
      <c r="G760" s="15"/>
    </row>
    <row r="761" ht="15.75" customHeight="1">
      <c r="A761" s="15"/>
      <c r="B761" s="15"/>
      <c r="C761" s="15"/>
      <c r="D761" s="15"/>
      <c r="E761" s="15"/>
      <c r="F761" s="15"/>
      <c r="G761" s="15"/>
    </row>
    <row r="762" ht="15.75" customHeight="1">
      <c r="A762" s="15"/>
      <c r="B762" s="15"/>
      <c r="C762" s="15"/>
      <c r="D762" s="15"/>
      <c r="E762" s="15"/>
      <c r="F762" s="15"/>
      <c r="G762" s="15"/>
    </row>
    <row r="763" ht="15.75" customHeight="1">
      <c r="A763" s="15"/>
      <c r="B763" s="15"/>
      <c r="C763" s="15"/>
      <c r="D763" s="15"/>
      <c r="E763" s="15"/>
      <c r="F763" s="15"/>
      <c r="G763" s="15"/>
    </row>
    <row r="764" ht="15.75" customHeight="1">
      <c r="A764" s="15"/>
      <c r="B764" s="15"/>
      <c r="C764" s="15"/>
      <c r="D764" s="15"/>
      <c r="E764" s="15"/>
      <c r="F764" s="15"/>
      <c r="G764" s="15"/>
    </row>
    <row r="765" ht="15.75" customHeight="1">
      <c r="A765" s="15"/>
      <c r="B765" s="15"/>
      <c r="C765" s="15"/>
      <c r="D765" s="15"/>
      <c r="E765" s="15"/>
      <c r="F765" s="15"/>
      <c r="G765" s="15"/>
    </row>
    <row r="766" ht="15.75" customHeight="1">
      <c r="A766" s="15"/>
      <c r="B766" s="15"/>
      <c r="C766" s="15"/>
      <c r="D766" s="15"/>
      <c r="E766" s="15"/>
      <c r="F766" s="15"/>
      <c r="G766" s="15"/>
    </row>
    <row r="767" ht="15.75" customHeight="1">
      <c r="A767" s="15"/>
      <c r="B767" s="15"/>
      <c r="C767" s="15"/>
      <c r="D767" s="15"/>
      <c r="E767" s="15"/>
      <c r="F767" s="15"/>
      <c r="G767" s="15"/>
    </row>
    <row r="768" ht="15.75" customHeight="1">
      <c r="A768" s="15"/>
      <c r="B768" s="15"/>
      <c r="C768" s="15"/>
      <c r="D768" s="15"/>
      <c r="E768" s="15"/>
      <c r="F768" s="15"/>
      <c r="G768" s="15"/>
    </row>
    <row r="769" ht="15.75" customHeight="1">
      <c r="A769" s="15"/>
      <c r="B769" s="15"/>
      <c r="C769" s="15"/>
      <c r="D769" s="15"/>
      <c r="E769" s="15"/>
      <c r="F769" s="15"/>
      <c r="G769" s="15"/>
    </row>
    <row r="770" ht="15.75" customHeight="1">
      <c r="A770" s="15"/>
      <c r="B770" s="15"/>
      <c r="C770" s="15"/>
      <c r="D770" s="15"/>
      <c r="E770" s="15"/>
      <c r="F770" s="15"/>
      <c r="G770" s="15"/>
    </row>
    <row r="771" ht="15.75" customHeight="1">
      <c r="A771" s="15"/>
      <c r="B771" s="15"/>
      <c r="C771" s="15"/>
      <c r="D771" s="15"/>
      <c r="E771" s="15"/>
      <c r="F771" s="15"/>
      <c r="G771" s="15"/>
    </row>
    <row r="772" ht="15.75" customHeight="1">
      <c r="A772" s="15"/>
      <c r="B772" s="15"/>
      <c r="C772" s="15"/>
      <c r="D772" s="15"/>
      <c r="E772" s="15"/>
      <c r="F772" s="15"/>
      <c r="G772" s="15"/>
    </row>
    <row r="773" ht="15.75" customHeight="1">
      <c r="A773" s="15"/>
      <c r="B773" s="15"/>
      <c r="C773" s="15"/>
      <c r="D773" s="15"/>
      <c r="E773" s="15"/>
      <c r="F773" s="15"/>
      <c r="G773" s="15"/>
    </row>
    <row r="774" ht="15.75" customHeight="1">
      <c r="A774" s="15"/>
      <c r="B774" s="15"/>
      <c r="C774" s="15"/>
      <c r="D774" s="15"/>
      <c r="E774" s="15"/>
      <c r="F774" s="15"/>
      <c r="G774" s="15"/>
    </row>
    <row r="775" ht="15.75" customHeight="1">
      <c r="A775" s="15"/>
      <c r="B775" s="15"/>
      <c r="C775" s="15"/>
      <c r="D775" s="15"/>
      <c r="E775" s="15"/>
      <c r="F775" s="15"/>
      <c r="G775" s="15"/>
    </row>
    <row r="776" ht="15.75" customHeight="1">
      <c r="A776" s="15"/>
      <c r="B776" s="15"/>
      <c r="C776" s="15"/>
      <c r="D776" s="15"/>
      <c r="E776" s="15"/>
      <c r="F776" s="15"/>
      <c r="G776" s="15"/>
    </row>
    <row r="777" ht="15.75" customHeight="1">
      <c r="A777" s="15"/>
      <c r="B777" s="15"/>
      <c r="C777" s="15"/>
      <c r="D777" s="15"/>
      <c r="E777" s="15"/>
      <c r="F777" s="15"/>
      <c r="G777" s="15"/>
    </row>
    <row r="778" ht="15.75" customHeight="1">
      <c r="A778" s="15"/>
      <c r="B778" s="15"/>
      <c r="C778" s="15"/>
      <c r="D778" s="15"/>
      <c r="E778" s="15"/>
      <c r="F778" s="15"/>
      <c r="G778" s="15"/>
    </row>
    <row r="779" ht="15.75" customHeight="1">
      <c r="A779" s="15"/>
      <c r="B779" s="15"/>
      <c r="C779" s="15"/>
      <c r="D779" s="15"/>
      <c r="E779" s="15"/>
      <c r="F779" s="15"/>
      <c r="G779" s="15"/>
    </row>
    <row r="780" ht="15.75" customHeight="1">
      <c r="A780" s="15"/>
      <c r="B780" s="15"/>
      <c r="C780" s="15"/>
      <c r="D780" s="15"/>
      <c r="E780" s="15"/>
      <c r="F780" s="15"/>
      <c r="G780" s="15"/>
    </row>
    <row r="781" ht="15.75" customHeight="1">
      <c r="A781" s="15"/>
      <c r="B781" s="15"/>
      <c r="C781" s="15"/>
      <c r="D781" s="15"/>
      <c r="E781" s="15"/>
      <c r="F781" s="15"/>
      <c r="G781" s="15"/>
    </row>
    <row r="782" ht="15.75" customHeight="1">
      <c r="A782" s="15"/>
      <c r="B782" s="15"/>
      <c r="C782" s="15"/>
      <c r="D782" s="15"/>
      <c r="E782" s="15"/>
      <c r="F782" s="15"/>
      <c r="G782" s="15"/>
    </row>
    <row r="783" ht="15.75" customHeight="1">
      <c r="A783" s="15"/>
      <c r="B783" s="15"/>
      <c r="C783" s="15"/>
      <c r="D783" s="15"/>
      <c r="E783" s="15"/>
      <c r="F783" s="15"/>
      <c r="G783" s="15"/>
    </row>
    <row r="784" ht="15.75" customHeight="1">
      <c r="A784" s="15"/>
      <c r="B784" s="15"/>
      <c r="C784" s="15"/>
      <c r="D784" s="15"/>
      <c r="E784" s="15"/>
      <c r="F784" s="15"/>
      <c r="G784" s="15"/>
    </row>
    <row r="785" ht="15.75" customHeight="1">
      <c r="A785" s="15"/>
      <c r="B785" s="15"/>
      <c r="C785" s="15"/>
      <c r="D785" s="15"/>
      <c r="E785" s="15"/>
      <c r="F785" s="15"/>
      <c r="G785" s="15"/>
    </row>
    <row r="786" ht="15.75" customHeight="1">
      <c r="A786" s="15"/>
      <c r="B786" s="15"/>
      <c r="C786" s="15"/>
      <c r="D786" s="15"/>
      <c r="E786" s="15"/>
      <c r="F786" s="15"/>
      <c r="G786" s="15"/>
    </row>
    <row r="787" ht="15.75" customHeight="1">
      <c r="A787" s="15"/>
      <c r="B787" s="15"/>
      <c r="C787" s="15"/>
      <c r="D787" s="15"/>
      <c r="E787" s="15"/>
      <c r="F787" s="15"/>
      <c r="G787" s="15"/>
    </row>
    <row r="788" ht="15.75" customHeight="1">
      <c r="A788" s="15"/>
      <c r="B788" s="15"/>
      <c r="C788" s="15"/>
      <c r="D788" s="15"/>
      <c r="E788" s="15"/>
      <c r="F788" s="15"/>
      <c r="G788" s="15"/>
    </row>
    <row r="789" ht="15.75" customHeight="1">
      <c r="A789" s="15"/>
      <c r="B789" s="15"/>
      <c r="C789" s="15"/>
      <c r="D789" s="15"/>
      <c r="E789" s="15"/>
      <c r="F789" s="15"/>
      <c r="G789" s="15"/>
    </row>
    <row r="790" ht="15.75" customHeight="1">
      <c r="A790" s="15"/>
      <c r="B790" s="15"/>
      <c r="C790" s="15"/>
      <c r="D790" s="15"/>
      <c r="E790" s="15"/>
      <c r="F790" s="15"/>
      <c r="G790" s="15"/>
    </row>
    <row r="791" ht="15.75" customHeight="1">
      <c r="A791" s="15"/>
      <c r="B791" s="15"/>
      <c r="C791" s="15"/>
      <c r="D791" s="15"/>
      <c r="E791" s="15"/>
      <c r="F791" s="15"/>
      <c r="G791" s="15"/>
    </row>
    <row r="792" ht="15.75" customHeight="1">
      <c r="A792" s="15"/>
      <c r="B792" s="15"/>
      <c r="C792" s="15"/>
      <c r="D792" s="15"/>
      <c r="E792" s="15"/>
      <c r="F792" s="15"/>
      <c r="G792" s="15"/>
    </row>
    <row r="793" ht="15.75" customHeight="1">
      <c r="A793" s="15"/>
      <c r="B793" s="15"/>
      <c r="C793" s="15"/>
      <c r="D793" s="15"/>
      <c r="E793" s="15"/>
      <c r="F793" s="15"/>
      <c r="G793" s="15"/>
    </row>
    <row r="794" ht="15.75" customHeight="1">
      <c r="A794" s="15"/>
      <c r="B794" s="15"/>
      <c r="C794" s="15"/>
      <c r="D794" s="15"/>
      <c r="E794" s="15"/>
      <c r="F794" s="15"/>
      <c r="G794" s="15"/>
    </row>
    <row r="795" ht="15.75" customHeight="1">
      <c r="A795" s="15"/>
      <c r="B795" s="15"/>
      <c r="C795" s="15"/>
      <c r="D795" s="15"/>
      <c r="E795" s="15"/>
      <c r="F795" s="15"/>
      <c r="G795" s="15"/>
    </row>
    <row r="796" ht="15.75" customHeight="1">
      <c r="A796" s="15"/>
      <c r="B796" s="15"/>
      <c r="C796" s="15"/>
      <c r="D796" s="15"/>
      <c r="E796" s="15"/>
      <c r="F796" s="15"/>
      <c r="G796" s="15"/>
    </row>
    <row r="797" ht="15.75" customHeight="1">
      <c r="A797" s="15"/>
      <c r="B797" s="15"/>
      <c r="C797" s="15"/>
      <c r="D797" s="15"/>
      <c r="E797" s="15"/>
      <c r="F797" s="15"/>
      <c r="G797" s="15"/>
    </row>
    <row r="798" ht="15.75" customHeight="1">
      <c r="A798" s="15"/>
      <c r="B798" s="15"/>
      <c r="C798" s="15"/>
      <c r="D798" s="15"/>
      <c r="E798" s="15"/>
      <c r="F798" s="15"/>
      <c r="G798" s="15"/>
    </row>
    <row r="799" ht="15.75" customHeight="1">
      <c r="A799" s="15"/>
      <c r="B799" s="15"/>
      <c r="C799" s="15"/>
      <c r="D799" s="15"/>
      <c r="E799" s="15"/>
      <c r="F799" s="15"/>
      <c r="G799" s="15"/>
    </row>
    <row r="800" ht="15.75" customHeight="1">
      <c r="A800" s="15"/>
      <c r="B800" s="15"/>
      <c r="C800" s="15"/>
      <c r="D800" s="15"/>
      <c r="E800" s="15"/>
      <c r="F800" s="15"/>
      <c r="G800" s="15"/>
    </row>
    <row r="801" ht="15.75" customHeight="1">
      <c r="A801" s="15"/>
      <c r="B801" s="15"/>
      <c r="C801" s="15"/>
      <c r="D801" s="15"/>
      <c r="E801" s="15"/>
      <c r="F801" s="15"/>
      <c r="G801" s="15"/>
    </row>
    <row r="802" ht="15.75" customHeight="1">
      <c r="A802" s="15"/>
      <c r="B802" s="15"/>
      <c r="C802" s="15"/>
      <c r="D802" s="15"/>
      <c r="E802" s="15"/>
      <c r="F802" s="15"/>
      <c r="G802" s="15"/>
    </row>
    <row r="803" ht="15.75" customHeight="1">
      <c r="A803" s="15"/>
      <c r="B803" s="15"/>
      <c r="C803" s="15"/>
      <c r="D803" s="15"/>
      <c r="E803" s="15"/>
      <c r="F803" s="15"/>
      <c r="G803" s="15"/>
    </row>
    <row r="804" ht="15.75" customHeight="1">
      <c r="A804" s="15"/>
      <c r="B804" s="15"/>
      <c r="C804" s="15"/>
      <c r="D804" s="15"/>
      <c r="E804" s="15"/>
      <c r="F804" s="15"/>
      <c r="G804" s="15"/>
    </row>
    <row r="805" ht="15.75" customHeight="1">
      <c r="A805" s="15"/>
      <c r="B805" s="15"/>
      <c r="C805" s="15"/>
      <c r="D805" s="15"/>
      <c r="E805" s="15"/>
      <c r="F805" s="15"/>
      <c r="G805" s="15"/>
    </row>
    <row r="806" ht="15.75" customHeight="1">
      <c r="A806" s="15"/>
      <c r="B806" s="15"/>
      <c r="C806" s="15"/>
      <c r="D806" s="15"/>
      <c r="E806" s="15"/>
      <c r="F806" s="15"/>
      <c r="G806" s="15"/>
    </row>
    <row r="807" ht="15.75" customHeight="1">
      <c r="A807" s="15"/>
      <c r="B807" s="15"/>
      <c r="C807" s="15"/>
      <c r="D807" s="15"/>
      <c r="E807" s="15"/>
      <c r="F807" s="15"/>
      <c r="G807" s="15"/>
    </row>
    <row r="808" ht="15.75" customHeight="1">
      <c r="A808" s="15"/>
      <c r="B808" s="15"/>
      <c r="C808" s="15"/>
      <c r="D808" s="15"/>
      <c r="E808" s="15"/>
      <c r="F808" s="15"/>
      <c r="G808" s="15"/>
    </row>
    <row r="809" ht="15.75" customHeight="1">
      <c r="A809" s="15"/>
      <c r="B809" s="15"/>
      <c r="C809" s="15"/>
      <c r="D809" s="15"/>
      <c r="E809" s="15"/>
      <c r="F809" s="15"/>
      <c r="G809" s="15"/>
    </row>
    <row r="810" ht="15.75" customHeight="1">
      <c r="A810" s="15"/>
      <c r="B810" s="15"/>
      <c r="C810" s="15"/>
      <c r="D810" s="15"/>
      <c r="E810" s="15"/>
      <c r="F810" s="15"/>
      <c r="G810" s="15"/>
    </row>
    <row r="811" ht="15.75" customHeight="1">
      <c r="A811" s="15"/>
      <c r="B811" s="15"/>
      <c r="C811" s="15"/>
      <c r="D811" s="15"/>
      <c r="E811" s="15"/>
      <c r="F811" s="15"/>
      <c r="G811" s="15"/>
    </row>
    <row r="812" ht="15.75" customHeight="1">
      <c r="A812" s="15"/>
      <c r="B812" s="15"/>
      <c r="C812" s="15"/>
      <c r="D812" s="15"/>
      <c r="E812" s="15"/>
      <c r="F812" s="15"/>
      <c r="G812" s="15"/>
    </row>
    <row r="813" ht="15.75" customHeight="1">
      <c r="A813" s="15"/>
      <c r="B813" s="15"/>
      <c r="C813" s="15"/>
      <c r="D813" s="15"/>
      <c r="E813" s="15"/>
      <c r="F813" s="15"/>
      <c r="G813" s="15"/>
    </row>
    <row r="814" ht="15.75" customHeight="1">
      <c r="A814" s="15"/>
      <c r="B814" s="15"/>
      <c r="C814" s="15"/>
      <c r="D814" s="15"/>
      <c r="E814" s="15"/>
      <c r="F814" s="15"/>
      <c r="G814" s="15"/>
    </row>
    <row r="815" ht="15.75" customHeight="1">
      <c r="A815" s="15"/>
      <c r="B815" s="15"/>
      <c r="C815" s="15"/>
      <c r="D815" s="15"/>
      <c r="E815" s="15"/>
      <c r="F815" s="15"/>
      <c r="G815" s="15"/>
    </row>
    <row r="816" ht="15.75" customHeight="1">
      <c r="A816" s="15"/>
      <c r="B816" s="15"/>
      <c r="C816" s="15"/>
      <c r="D816" s="15"/>
      <c r="E816" s="15"/>
      <c r="F816" s="15"/>
      <c r="G816" s="15"/>
    </row>
    <row r="817" ht="15.75" customHeight="1">
      <c r="A817" s="15"/>
      <c r="B817" s="15"/>
      <c r="C817" s="15"/>
      <c r="D817" s="15"/>
      <c r="E817" s="15"/>
      <c r="F817" s="15"/>
      <c r="G817" s="15"/>
    </row>
    <row r="818" ht="15.75" customHeight="1">
      <c r="A818" s="15"/>
      <c r="B818" s="15"/>
      <c r="C818" s="15"/>
      <c r="D818" s="15"/>
      <c r="E818" s="15"/>
      <c r="F818" s="15"/>
      <c r="G818" s="15"/>
    </row>
    <row r="819" ht="15.75" customHeight="1">
      <c r="A819" s="15"/>
      <c r="B819" s="15"/>
      <c r="C819" s="15"/>
      <c r="D819" s="15"/>
      <c r="E819" s="15"/>
      <c r="F819" s="15"/>
      <c r="G819" s="15"/>
    </row>
    <row r="820" ht="15.75" customHeight="1">
      <c r="A820" s="15"/>
      <c r="B820" s="15"/>
      <c r="C820" s="15"/>
      <c r="D820" s="15"/>
      <c r="E820" s="15"/>
      <c r="F820" s="15"/>
      <c r="G820" s="15"/>
    </row>
    <row r="821" ht="15.75" customHeight="1">
      <c r="A821" s="15"/>
      <c r="B821" s="15"/>
      <c r="C821" s="15"/>
      <c r="D821" s="15"/>
      <c r="E821" s="15"/>
      <c r="F821" s="15"/>
      <c r="G821" s="15"/>
    </row>
    <row r="822" ht="15.75" customHeight="1">
      <c r="A822" s="15"/>
      <c r="B822" s="15"/>
      <c r="C822" s="15"/>
      <c r="D822" s="15"/>
      <c r="E822" s="15"/>
      <c r="F822" s="15"/>
      <c r="G822" s="15"/>
    </row>
    <row r="823" ht="15.75" customHeight="1">
      <c r="A823" s="15"/>
      <c r="B823" s="15"/>
      <c r="C823" s="15"/>
      <c r="D823" s="15"/>
      <c r="E823" s="15"/>
      <c r="F823" s="15"/>
      <c r="G823" s="15"/>
    </row>
    <row r="824" ht="15.75" customHeight="1">
      <c r="A824" s="15"/>
      <c r="B824" s="15"/>
      <c r="C824" s="15"/>
      <c r="D824" s="15"/>
      <c r="E824" s="15"/>
      <c r="F824" s="15"/>
      <c r="G824" s="15"/>
    </row>
    <row r="825" ht="15.75" customHeight="1">
      <c r="A825" s="15"/>
      <c r="B825" s="15"/>
      <c r="C825" s="15"/>
      <c r="D825" s="15"/>
      <c r="E825" s="15"/>
      <c r="F825" s="15"/>
      <c r="G825" s="15"/>
    </row>
    <row r="826" ht="15.75" customHeight="1">
      <c r="A826" s="15"/>
      <c r="B826" s="15"/>
      <c r="C826" s="15"/>
      <c r="D826" s="15"/>
      <c r="E826" s="15"/>
      <c r="F826" s="15"/>
      <c r="G826" s="15"/>
    </row>
    <row r="827" ht="15.75" customHeight="1">
      <c r="A827" s="15"/>
      <c r="B827" s="15"/>
      <c r="C827" s="15"/>
      <c r="D827" s="15"/>
      <c r="E827" s="15"/>
      <c r="F827" s="15"/>
      <c r="G827" s="15"/>
    </row>
    <row r="828" ht="15.75" customHeight="1">
      <c r="A828" s="15"/>
      <c r="B828" s="15"/>
      <c r="C828" s="15"/>
      <c r="D828" s="15"/>
      <c r="E828" s="15"/>
      <c r="F828" s="15"/>
      <c r="G828" s="15"/>
    </row>
    <row r="829" ht="15.75" customHeight="1">
      <c r="A829" s="15"/>
      <c r="B829" s="15"/>
      <c r="C829" s="15"/>
      <c r="D829" s="15"/>
      <c r="E829" s="15"/>
      <c r="F829" s="15"/>
      <c r="G829" s="15"/>
    </row>
    <row r="830" ht="15.75" customHeight="1">
      <c r="A830" s="15"/>
      <c r="B830" s="15"/>
      <c r="C830" s="15"/>
      <c r="D830" s="15"/>
      <c r="E830" s="15"/>
      <c r="F830" s="15"/>
      <c r="G830" s="15"/>
    </row>
    <row r="831" ht="15.75" customHeight="1">
      <c r="A831" s="15"/>
      <c r="B831" s="15"/>
      <c r="C831" s="15"/>
      <c r="D831" s="15"/>
      <c r="E831" s="15"/>
      <c r="F831" s="15"/>
      <c r="G831" s="15"/>
    </row>
    <row r="832" ht="15.75" customHeight="1">
      <c r="A832" s="15"/>
      <c r="B832" s="15"/>
      <c r="C832" s="15"/>
      <c r="D832" s="15"/>
      <c r="E832" s="15"/>
      <c r="F832" s="15"/>
      <c r="G832" s="15"/>
    </row>
    <row r="833" ht="15.75" customHeight="1">
      <c r="A833" s="15"/>
      <c r="B833" s="15"/>
      <c r="C833" s="15"/>
      <c r="D833" s="15"/>
      <c r="E833" s="15"/>
      <c r="F833" s="15"/>
      <c r="G833" s="15"/>
    </row>
    <row r="834" ht="15.75" customHeight="1">
      <c r="A834" s="15"/>
      <c r="B834" s="15"/>
      <c r="C834" s="15"/>
      <c r="D834" s="15"/>
      <c r="E834" s="15"/>
      <c r="F834" s="15"/>
      <c r="G834" s="15"/>
    </row>
    <row r="835" ht="15.75" customHeight="1">
      <c r="A835" s="15"/>
      <c r="B835" s="15"/>
      <c r="C835" s="15"/>
      <c r="D835" s="15"/>
      <c r="E835" s="15"/>
      <c r="F835" s="15"/>
      <c r="G835" s="15"/>
    </row>
    <row r="836" ht="15.75" customHeight="1">
      <c r="A836" s="15"/>
      <c r="B836" s="15"/>
      <c r="C836" s="15"/>
      <c r="D836" s="15"/>
      <c r="E836" s="15"/>
      <c r="F836" s="15"/>
      <c r="G836" s="15"/>
    </row>
    <row r="837" ht="15.75" customHeight="1">
      <c r="A837" s="15"/>
      <c r="B837" s="15"/>
      <c r="C837" s="15"/>
      <c r="D837" s="15"/>
      <c r="E837" s="15"/>
      <c r="F837" s="15"/>
      <c r="G837" s="15"/>
    </row>
    <row r="838" ht="15.75" customHeight="1">
      <c r="A838" s="15"/>
      <c r="B838" s="15"/>
      <c r="C838" s="15"/>
      <c r="D838" s="15"/>
      <c r="E838" s="15"/>
      <c r="F838" s="15"/>
      <c r="G838" s="15"/>
    </row>
    <row r="839" ht="15.75" customHeight="1">
      <c r="A839" s="15"/>
      <c r="B839" s="15"/>
      <c r="C839" s="15"/>
      <c r="D839" s="15"/>
      <c r="E839" s="15"/>
      <c r="F839" s="15"/>
      <c r="G839" s="15"/>
    </row>
    <row r="840" ht="15.75" customHeight="1">
      <c r="A840" s="15"/>
      <c r="B840" s="15"/>
      <c r="C840" s="15"/>
      <c r="D840" s="15"/>
      <c r="E840" s="15"/>
      <c r="F840" s="15"/>
      <c r="G840" s="15"/>
    </row>
    <row r="841" ht="15.75" customHeight="1">
      <c r="A841" s="15"/>
      <c r="B841" s="15"/>
      <c r="C841" s="15"/>
      <c r="D841" s="15"/>
      <c r="E841" s="15"/>
      <c r="F841" s="15"/>
      <c r="G841" s="15"/>
    </row>
    <row r="842" ht="15.75" customHeight="1">
      <c r="A842" s="15"/>
      <c r="B842" s="15"/>
      <c r="C842" s="15"/>
      <c r="D842" s="15"/>
      <c r="E842" s="15"/>
      <c r="F842" s="15"/>
      <c r="G842" s="15"/>
    </row>
    <row r="843" ht="15.75" customHeight="1">
      <c r="A843" s="15"/>
      <c r="B843" s="15"/>
      <c r="C843" s="15"/>
      <c r="D843" s="15"/>
      <c r="E843" s="15"/>
      <c r="F843" s="15"/>
      <c r="G843" s="15"/>
    </row>
    <row r="844" ht="15.75" customHeight="1">
      <c r="A844" s="15"/>
      <c r="B844" s="15"/>
      <c r="C844" s="15"/>
      <c r="D844" s="15"/>
      <c r="E844" s="15"/>
      <c r="F844" s="15"/>
      <c r="G844" s="15"/>
    </row>
    <row r="845" ht="15.75" customHeight="1">
      <c r="A845" s="15"/>
      <c r="B845" s="15"/>
      <c r="C845" s="15"/>
      <c r="D845" s="15"/>
      <c r="E845" s="15"/>
      <c r="F845" s="15"/>
      <c r="G845" s="15"/>
    </row>
    <row r="846" ht="15.75" customHeight="1">
      <c r="A846" s="15"/>
      <c r="B846" s="15"/>
      <c r="C846" s="15"/>
      <c r="D846" s="15"/>
      <c r="E846" s="15"/>
      <c r="F846" s="15"/>
      <c r="G846" s="15"/>
    </row>
    <row r="847" ht="15.75" customHeight="1">
      <c r="A847" s="15"/>
      <c r="B847" s="15"/>
      <c r="C847" s="15"/>
      <c r="D847" s="15"/>
      <c r="E847" s="15"/>
      <c r="F847" s="15"/>
      <c r="G847" s="15"/>
    </row>
    <row r="848" ht="15.75" customHeight="1">
      <c r="A848" s="15"/>
      <c r="B848" s="15"/>
      <c r="C848" s="15"/>
      <c r="D848" s="15"/>
      <c r="E848" s="15"/>
      <c r="F848" s="15"/>
      <c r="G848" s="15"/>
    </row>
    <row r="849" ht="15.75" customHeight="1">
      <c r="A849" s="15"/>
      <c r="B849" s="15"/>
      <c r="C849" s="15"/>
      <c r="D849" s="15"/>
      <c r="E849" s="15"/>
      <c r="F849" s="15"/>
      <c r="G849" s="15"/>
    </row>
    <row r="850" ht="15.75" customHeight="1">
      <c r="A850" s="15"/>
      <c r="B850" s="15"/>
      <c r="C850" s="15"/>
      <c r="D850" s="15"/>
      <c r="E850" s="15"/>
      <c r="F850" s="15"/>
      <c r="G850" s="15"/>
    </row>
    <row r="851" ht="15.75" customHeight="1">
      <c r="A851" s="15"/>
      <c r="B851" s="15"/>
      <c r="C851" s="15"/>
      <c r="D851" s="15"/>
      <c r="E851" s="15"/>
      <c r="F851" s="15"/>
      <c r="G851" s="15"/>
    </row>
    <row r="852" ht="15.75" customHeight="1">
      <c r="A852" s="15"/>
      <c r="B852" s="15"/>
      <c r="C852" s="15"/>
      <c r="D852" s="15"/>
      <c r="E852" s="15"/>
      <c r="F852" s="15"/>
      <c r="G852" s="15"/>
    </row>
    <row r="853" ht="15.75" customHeight="1">
      <c r="A853" s="15"/>
      <c r="B853" s="15"/>
      <c r="C853" s="15"/>
      <c r="D853" s="15"/>
      <c r="E853" s="15"/>
      <c r="F853" s="15"/>
      <c r="G853" s="15"/>
    </row>
    <row r="854" ht="15.75" customHeight="1">
      <c r="A854" s="15"/>
      <c r="B854" s="15"/>
      <c r="C854" s="15"/>
      <c r="D854" s="15"/>
      <c r="E854" s="15"/>
      <c r="F854" s="15"/>
      <c r="G854" s="15"/>
    </row>
    <row r="855" ht="15.75" customHeight="1">
      <c r="A855" s="15"/>
      <c r="B855" s="15"/>
      <c r="C855" s="15"/>
      <c r="D855" s="15"/>
      <c r="E855" s="15"/>
      <c r="F855" s="15"/>
      <c r="G855" s="15"/>
    </row>
    <row r="856" ht="15.75" customHeight="1">
      <c r="A856" s="15"/>
      <c r="B856" s="15"/>
      <c r="C856" s="15"/>
      <c r="D856" s="15"/>
      <c r="E856" s="15"/>
      <c r="F856" s="15"/>
      <c r="G856" s="15"/>
    </row>
    <row r="857" ht="15.75" customHeight="1">
      <c r="A857" s="15"/>
      <c r="B857" s="15"/>
      <c r="C857" s="15"/>
      <c r="D857" s="15"/>
      <c r="E857" s="15"/>
      <c r="F857" s="15"/>
      <c r="G857" s="15"/>
    </row>
    <row r="858" ht="15.75" customHeight="1">
      <c r="A858" s="15"/>
      <c r="B858" s="15"/>
      <c r="C858" s="15"/>
      <c r="D858" s="15"/>
      <c r="E858" s="15"/>
      <c r="F858" s="15"/>
      <c r="G858" s="15"/>
    </row>
    <row r="859" ht="15.75" customHeight="1">
      <c r="A859" s="15"/>
      <c r="B859" s="15"/>
      <c r="C859" s="15"/>
      <c r="D859" s="15"/>
      <c r="E859" s="15"/>
      <c r="F859" s="15"/>
      <c r="G859" s="15"/>
    </row>
    <row r="860" ht="15.75" customHeight="1">
      <c r="A860" s="15"/>
      <c r="B860" s="15"/>
      <c r="C860" s="15"/>
      <c r="D860" s="15"/>
      <c r="E860" s="15"/>
      <c r="F860" s="15"/>
      <c r="G860" s="15"/>
    </row>
    <row r="861" ht="15.75" customHeight="1">
      <c r="A861" s="15"/>
      <c r="B861" s="15"/>
      <c r="C861" s="15"/>
      <c r="D861" s="15"/>
      <c r="E861" s="15"/>
      <c r="F861" s="15"/>
      <c r="G861" s="15"/>
    </row>
    <row r="862" ht="15.75" customHeight="1">
      <c r="A862" s="15"/>
      <c r="B862" s="15"/>
      <c r="C862" s="15"/>
      <c r="D862" s="15"/>
      <c r="E862" s="15"/>
      <c r="F862" s="15"/>
      <c r="G862" s="15"/>
    </row>
    <row r="863" ht="15.75" customHeight="1">
      <c r="A863" s="15"/>
      <c r="B863" s="15"/>
      <c r="C863" s="15"/>
      <c r="D863" s="15"/>
      <c r="E863" s="15"/>
      <c r="F863" s="15"/>
      <c r="G863" s="15"/>
    </row>
    <row r="864" ht="15.75" customHeight="1">
      <c r="A864" s="15"/>
      <c r="B864" s="15"/>
      <c r="C864" s="15"/>
      <c r="D864" s="15"/>
      <c r="E864" s="15"/>
      <c r="F864" s="15"/>
      <c r="G864" s="15"/>
    </row>
    <row r="865" ht="15.75" customHeight="1">
      <c r="A865" s="15"/>
      <c r="B865" s="15"/>
      <c r="C865" s="15"/>
      <c r="D865" s="15"/>
      <c r="E865" s="15"/>
      <c r="F865" s="15"/>
      <c r="G865" s="15"/>
    </row>
    <row r="866" ht="15.75" customHeight="1">
      <c r="A866" s="15"/>
      <c r="B866" s="15"/>
      <c r="C866" s="15"/>
      <c r="D866" s="15"/>
      <c r="E866" s="15"/>
      <c r="F866" s="15"/>
      <c r="G866" s="15"/>
    </row>
    <row r="867" ht="15.75" customHeight="1">
      <c r="A867" s="15"/>
      <c r="B867" s="15"/>
      <c r="C867" s="15"/>
      <c r="D867" s="15"/>
      <c r="E867" s="15"/>
      <c r="F867" s="15"/>
      <c r="G867" s="15"/>
    </row>
    <row r="868" ht="15.75" customHeight="1">
      <c r="A868" s="15"/>
      <c r="B868" s="15"/>
      <c r="C868" s="15"/>
      <c r="D868" s="15"/>
      <c r="E868" s="15"/>
      <c r="F868" s="15"/>
      <c r="G868" s="15"/>
    </row>
    <row r="869" ht="15.75" customHeight="1">
      <c r="A869" s="15"/>
      <c r="B869" s="15"/>
      <c r="C869" s="15"/>
      <c r="D869" s="15"/>
      <c r="E869" s="15"/>
      <c r="F869" s="15"/>
      <c r="G869" s="15"/>
    </row>
    <row r="870" ht="15.75" customHeight="1">
      <c r="A870" s="15"/>
      <c r="B870" s="15"/>
      <c r="C870" s="15"/>
      <c r="D870" s="15"/>
      <c r="E870" s="15"/>
      <c r="F870" s="15"/>
      <c r="G870" s="15"/>
    </row>
    <row r="871" ht="15.75" customHeight="1">
      <c r="A871" s="15"/>
      <c r="B871" s="15"/>
      <c r="C871" s="15"/>
      <c r="D871" s="15"/>
      <c r="E871" s="15"/>
      <c r="F871" s="15"/>
      <c r="G871" s="15"/>
    </row>
    <row r="872" ht="15.75" customHeight="1">
      <c r="A872" s="15"/>
      <c r="B872" s="15"/>
      <c r="C872" s="15"/>
      <c r="D872" s="15"/>
      <c r="E872" s="15"/>
      <c r="F872" s="15"/>
      <c r="G872" s="15"/>
    </row>
    <row r="873" ht="15.75" customHeight="1">
      <c r="A873" s="15"/>
      <c r="B873" s="15"/>
      <c r="C873" s="15"/>
      <c r="D873" s="15"/>
      <c r="E873" s="15"/>
      <c r="F873" s="15"/>
      <c r="G873" s="15"/>
    </row>
    <row r="874" ht="15.75" customHeight="1">
      <c r="A874" s="15"/>
      <c r="B874" s="15"/>
      <c r="C874" s="15"/>
      <c r="D874" s="15"/>
      <c r="E874" s="15"/>
      <c r="F874" s="15"/>
      <c r="G874" s="15"/>
    </row>
    <row r="875" ht="15.75" customHeight="1">
      <c r="A875" s="15"/>
      <c r="B875" s="15"/>
      <c r="C875" s="15"/>
      <c r="D875" s="15"/>
      <c r="E875" s="15"/>
      <c r="F875" s="15"/>
      <c r="G875" s="15"/>
    </row>
    <row r="876" ht="15.75" customHeight="1">
      <c r="A876" s="15"/>
      <c r="B876" s="15"/>
      <c r="C876" s="15"/>
      <c r="D876" s="15"/>
      <c r="E876" s="15"/>
      <c r="F876" s="15"/>
      <c r="G876" s="15"/>
    </row>
    <row r="877" ht="15.75" customHeight="1">
      <c r="A877" s="15"/>
      <c r="B877" s="15"/>
      <c r="C877" s="15"/>
      <c r="D877" s="15"/>
      <c r="E877" s="15"/>
      <c r="F877" s="15"/>
      <c r="G877" s="15"/>
    </row>
    <row r="878" ht="15.75" customHeight="1">
      <c r="A878" s="15"/>
      <c r="B878" s="15"/>
      <c r="C878" s="15"/>
      <c r="D878" s="15"/>
      <c r="E878" s="15"/>
      <c r="F878" s="15"/>
      <c r="G878" s="15"/>
    </row>
    <row r="879" ht="15.75" customHeight="1">
      <c r="A879" s="15"/>
      <c r="B879" s="15"/>
      <c r="C879" s="15"/>
      <c r="D879" s="15"/>
      <c r="E879" s="15"/>
      <c r="F879" s="15"/>
      <c r="G879" s="15"/>
    </row>
    <row r="880" ht="15.75" customHeight="1">
      <c r="A880" s="15"/>
      <c r="B880" s="15"/>
      <c r="C880" s="15"/>
      <c r="D880" s="15"/>
      <c r="E880" s="15"/>
      <c r="F880" s="15"/>
      <c r="G880" s="15"/>
    </row>
    <row r="881" ht="15.75" customHeight="1">
      <c r="A881" s="15"/>
      <c r="B881" s="15"/>
      <c r="C881" s="15"/>
      <c r="D881" s="15"/>
      <c r="E881" s="15"/>
      <c r="F881" s="15"/>
      <c r="G881" s="15"/>
    </row>
    <row r="882" ht="15.75" customHeight="1">
      <c r="A882" s="15"/>
      <c r="B882" s="15"/>
      <c r="C882" s="15"/>
      <c r="D882" s="15"/>
      <c r="E882" s="15"/>
      <c r="F882" s="15"/>
      <c r="G882" s="15"/>
    </row>
    <row r="883" ht="15.75" customHeight="1">
      <c r="A883" s="15"/>
      <c r="B883" s="15"/>
      <c r="C883" s="15"/>
      <c r="D883" s="15"/>
      <c r="E883" s="15"/>
      <c r="F883" s="15"/>
      <c r="G883" s="15"/>
    </row>
    <row r="884" ht="15.75" customHeight="1">
      <c r="A884" s="15"/>
      <c r="B884" s="15"/>
      <c r="C884" s="15"/>
      <c r="D884" s="15"/>
      <c r="E884" s="15"/>
      <c r="F884" s="15"/>
      <c r="G884" s="15"/>
    </row>
    <row r="885" ht="15.75" customHeight="1">
      <c r="A885" s="15"/>
      <c r="B885" s="15"/>
      <c r="C885" s="15"/>
      <c r="D885" s="15"/>
      <c r="E885" s="15"/>
      <c r="F885" s="15"/>
      <c r="G885" s="15"/>
    </row>
    <row r="886" ht="15.75" customHeight="1">
      <c r="A886" s="15"/>
      <c r="B886" s="15"/>
      <c r="C886" s="15"/>
      <c r="D886" s="15"/>
      <c r="E886" s="15"/>
      <c r="F886" s="15"/>
      <c r="G886" s="15"/>
    </row>
    <row r="887" ht="15.75" customHeight="1">
      <c r="A887" s="15"/>
      <c r="B887" s="15"/>
      <c r="C887" s="15"/>
      <c r="D887" s="15"/>
      <c r="E887" s="15"/>
      <c r="F887" s="15"/>
      <c r="G887" s="15"/>
    </row>
    <row r="888" ht="15.75" customHeight="1">
      <c r="A888" s="15"/>
      <c r="B888" s="15"/>
      <c r="C888" s="15"/>
      <c r="D888" s="15"/>
      <c r="E888" s="15"/>
      <c r="F888" s="15"/>
      <c r="G888" s="15"/>
    </row>
    <row r="889" ht="15.75" customHeight="1">
      <c r="A889" s="15"/>
      <c r="B889" s="15"/>
      <c r="C889" s="15"/>
      <c r="D889" s="15"/>
      <c r="E889" s="15"/>
      <c r="F889" s="15"/>
      <c r="G889" s="15"/>
    </row>
    <row r="890" ht="15.75" customHeight="1">
      <c r="A890" s="15"/>
      <c r="B890" s="15"/>
      <c r="C890" s="15"/>
      <c r="D890" s="15"/>
      <c r="E890" s="15"/>
      <c r="F890" s="15"/>
      <c r="G890" s="15"/>
    </row>
    <row r="891" ht="15.75" customHeight="1">
      <c r="A891" s="15"/>
      <c r="B891" s="15"/>
      <c r="C891" s="15"/>
      <c r="D891" s="15"/>
      <c r="E891" s="15"/>
      <c r="F891" s="15"/>
      <c r="G891" s="15"/>
    </row>
    <row r="892" ht="15.75" customHeight="1">
      <c r="A892" s="15"/>
      <c r="B892" s="15"/>
      <c r="C892" s="15"/>
      <c r="D892" s="15"/>
      <c r="E892" s="15"/>
      <c r="F892" s="15"/>
      <c r="G892" s="15"/>
    </row>
    <row r="893" ht="15.75" customHeight="1">
      <c r="A893" s="15"/>
      <c r="B893" s="15"/>
      <c r="C893" s="15"/>
      <c r="D893" s="15"/>
      <c r="E893" s="15"/>
      <c r="F893" s="15"/>
      <c r="G893" s="15"/>
    </row>
    <row r="894" ht="15.75" customHeight="1">
      <c r="A894" s="15"/>
      <c r="B894" s="15"/>
      <c r="C894" s="15"/>
      <c r="D894" s="15"/>
      <c r="E894" s="15"/>
      <c r="F894" s="15"/>
      <c r="G894" s="15"/>
    </row>
    <row r="895" ht="15.75" customHeight="1">
      <c r="A895" s="15"/>
      <c r="B895" s="15"/>
      <c r="C895" s="15"/>
      <c r="D895" s="15"/>
      <c r="E895" s="15"/>
      <c r="F895" s="15"/>
      <c r="G895" s="15"/>
    </row>
    <row r="896" ht="15.75" customHeight="1">
      <c r="A896" s="15"/>
      <c r="B896" s="15"/>
      <c r="C896" s="15"/>
      <c r="D896" s="15"/>
      <c r="E896" s="15"/>
      <c r="F896" s="15"/>
      <c r="G896" s="15"/>
    </row>
    <row r="897" ht="15.75" customHeight="1">
      <c r="A897" s="15"/>
      <c r="B897" s="15"/>
      <c r="C897" s="15"/>
      <c r="D897" s="15"/>
      <c r="E897" s="15"/>
      <c r="F897" s="15"/>
      <c r="G897" s="15"/>
    </row>
    <row r="898" ht="15.75" customHeight="1">
      <c r="A898" s="15"/>
      <c r="B898" s="15"/>
      <c r="C898" s="15"/>
      <c r="D898" s="15"/>
      <c r="E898" s="15"/>
      <c r="F898" s="15"/>
      <c r="G898" s="15"/>
    </row>
    <row r="899" ht="15.75" customHeight="1">
      <c r="A899" s="15"/>
      <c r="B899" s="15"/>
      <c r="C899" s="15"/>
      <c r="D899" s="15"/>
      <c r="E899" s="15"/>
      <c r="F899" s="15"/>
      <c r="G899" s="15"/>
    </row>
    <row r="900" ht="15.75" customHeight="1">
      <c r="A900" s="15"/>
      <c r="B900" s="15"/>
      <c r="C900" s="15"/>
      <c r="D900" s="15"/>
      <c r="E900" s="15"/>
      <c r="F900" s="15"/>
      <c r="G900" s="15"/>
    </row>
    <row r="901" ht="15.75" customHeight="1">
      <c r="A901" s="15"/>
      <c r="B901" s="15"/>
      <c r="C901" s="15"/>
      <c r="D901" s="15"/>
      <c r="E901" s="15"/>
      <c r="F901" s="15"/>
      <c r="G901" s="15"/>
    </row>
    <row r="902" ht="15.75" customHeight="1">
      <c r="A902" s="15"/>
      <c r="B902" s="15"/>
      <c r="C902" s="15"/>
      <c r="D902" s="15"/>
      <c r="E902" s="15"/>
      <c r="F902" s="15"/>
      <c r="G902" s="15"/>
    </row>
    <row r="903" ht="15.75" customHeight="1">
      <c r="A903" s="15"/>
      <c r="B903" s="15"/>
      <c r="C903" s="15"/>
      <c r="D903" s="15"/>
      <c r="E903" s="15"/>
      <c r="F903" s="15"/>
      <c r="G903" s="15"/>
    </row>
    <row r="904" ht="15.75" customHeight="1">
      <c r="A904" s="15"/>
      <c r="B904" s="15"/>
      <c r="C904" s="15"/>
      <c r="D904" s="15"/>
      <c r="E904" s="15"/>
      <c r="F904" s="15"/>
      <c r="G904" s="15"/>
    </row>
    <row r="905" ht="15.75" customHeight="1">
      <c r="A905" s="15"/>
      <c r="B905" s="15"/>
      <c r="C905" s="15"/>
      <c r="D905" s="15"/>
      <c r="E905" s="15"/>
      <c r="F905" s="15"/>
      <c r="G905" s="15"/>
    </row>
    <row r="906" ht="15.75" customHeight="1">
      <c r="A906" s="15"/>
      <c r="B906" s="15"/>
      <c r="C906" s="15"/>
      <c r="D906" s="15"/>
      <c r="E906" s="15"/>
      <c r="F906" s="15"/>
      <c r="G906" s="15"/>
    </row>
    <row r="907" ht="15.75" customHeight="1">
      <c r="A907" s="15"/>
      <c r="B907" s="15"/>
      <c r="C907" s="15"/>
      <c r="D907" s="15"/>
      <c r="E907" s="15"/>
      <c r="F907" s="15"/>
      <c r="G907" s="15"/>
    </row>
    <row r="908" ht="15.75" customHeight="1">
      <c r="A908" s="15"/>
      <c r="B908" s="15"/>
      <c r="C908" s="15"/>
      <c r="D908" s="15"/>
      <c r="E908" s="15"/>
      <c r="F908" s="15"/>
      <c r="G908" s="15"/>
    </row>
    <row r="909" ht="15.75" customHeight="1">
      <c r="A909" s="15"/>
      <c r="B909" s="15"/>
      <c r="C909" s="15"/>
      <c r="D909" s="15"/>
      <c r="E909" s="15"/>
      <c r="F909" s="15"/>
      <c r="G909" s="15"/>
    </row>
    <row r="910" ht="15.75" customHeight="1">
      <c r="A910" s="15"/>
      <c r="B910" s="15"/>
      <c r="C910" s="15"/>
      <c r="D910" s="15"/>
      <c r="E910" s="15"/>
      <c r="F910" s="15"/>
      <c r="G910" s="15"/>
    </row>
    <row r="911" ht="15.75" customHeight="1">
      <c r="A911" s="15"/>
      <c r="B911" s="15"/>
      <c r="C911" s="15"/>
      <c r="D911" s="15"/>
      <c r="E911" s="15"/>
      <c r="F911" s="15"/>
      <c r="G911" s="15"/>
    </row>
    <row r="912" ht="15.75" customHeight="1">
      <c r="A912" s="15"/>
      <c r="B912" s="15"/>
      <c r="C912" s="15"/>
      <c r="D912" s="15"/>
      <c r="E912" s="15"/>
      <c r="F912" s="15"/>
      <c r="G912" s="15"/>
    </row>
    <row r="913" ht="15.75" customHeight="1">
      <c r="A913" s="15"/>
      <c r="B913" s="15"/>
      <c r="C913" s="15"/>
      <c r="D913" s="15"/>
      <c r="E913" s="15"/>
      <c r="F913" s="15"/>
      <c r="G913" s="15"/>
    </row>
    <row r="914" ht="15.75" customHeight="1">
      <c r="A914" s="15"/>
      <c r="B914" s="15"/>
      <c r="C914" s="15"/>
      <c r="D914" s="15"/>
      <c r="E914" s="15"/>
      <c r="F914" s="15"/>
      <c r="G914" s="15"/>
    </row>
    <row r="915" ht="15.75" customHeight="1">
      <c r="A915" s="15"/>
      <c r="B915" s="15"/>
      <c r="C915" s="15"/>
      <c r="D915" s="15"/>
      <c r="E915" s="15"/>
      <c r="F915" s="15"/>
      <c r="G915" s="15"/>
    </row>
    <row r="916" ht="15.75" customHeight="1">
      <c r="A916" s="15"/>
      <c r="B916" s="15"/>
      <c r="C916" s="15"/>
      <c r="D916" s="15"/>
      <c r="E916" s="15"/>
      <c r="F916" s="15"/>
      <c r="G916" s="15"/>
    </row>
    <row r="917" ht="15.75" customHeight="1">
      <c r="A917" s="15"/>
      <c r="B917" s="15"/>
      <c r="C917" s="15"/>
      <c r="D917" s="15"/>
      <c r="E917" s="15"/>
      <c r="F917" s="15"/>
      <c r="G917" s="15"/>
    </row>
    <row r="918" ht="15.75" customHeight="1">
      <c r="A918" s="15"/>
      <c r="B918" s="15"/>
      <c r="C918" s="15"/>
      <c r="D918" s="15"/>
      <c r="E918" s="15"/>
      <c r="F918" s="15"/>
      <c r="G918" s="15"/>
    </row>
    <row r="919" ht="15.75" customHeight="1">
      <c r="A919" s="15"/>
      <c r="B919" s="15"/>
      <c r="C919" s="15"/>
      <c r="D919" s="15"/>
      <c r="E919" s="15"/>
      <c r="F919" s="15"/>
      <c r="G919" s="15"/>
    </row>
    <row r="920" ht="15.75" customHeight="1">
      <c r="A920" s="15"/>
      <c r="B920" s="15"/>
      <c r="C920" s="15"/>
      <c r="D920" s="15"/>
      <c r="E920" s="15"/>
      <c r="F920" s="15"/>
      <c r="G920" s="15"/>
    </row>
    <row r="921" ht="15.75" customHeight="1">
      <c r="A921" s="15"/>
      <c r="B921" s="15"/>
      <c r="C921" s="15"/>
      <c r="D921" s="15"/>
      <c r="E921" s="15"/>
      <c r="F921" s="15"/>
      <c r="G921" s="15"/>
    </row>
    <row r="922" ht="15.75" customHeight="1">
      <c r="A922" s="15"/>
      <c r="B922" s="15"/>
      <c r="C922" s="15"/>
      <c r="D922" s="15"/>
      <c r="E922" s="15"/>
      <c r="F922" s="15"/>
      <c r="G922" s="15"/>
    </row>
    <row r="923" ht="15.75" customHeight="1">
      <c r="A923" s="15"/>
      <c r="B923" s="15"/>
      <c r="C923" s="15"/>
      <c r="D923" s="15"/>
      <c r="E923" s="15"/>
      <c r="F923" s="15"/>
      <c r="G923" s="15"/>
    </row>
    <row r="924" ht="15.75" customHeight="1">
      <c r="A924" s="15"/>
      <c r="B924" s="15"/>
      <c r="C924" s="15"/>
      <c r="D924" s="15"/>
      <c r="E924" s="15"/>
      <c r="F924" s="15"/>
      <c r="G924" s="15"/>
    </row>
    <row r="925" ht="15.75" customHeight="1">
      <c r="A925" s="15"/>
      <c r="B925" s="15"/>
      <c r="C925" s="15"/>
      <c r="D925" s="15"/>
      <c r="E925" s="15"/>
      <c r="F925" s="15"/>
      <c r="G925" s="15"/>
    </row>
    <row r="926" ht="15.75" customHeight="1">
      <c r="A926" s="15"/>
      <c r="B926" s="15"/>
      <c r="C926" s="15"/>
      <c r="D926" s="15"/>
      <c r="E926" s="15"/>
      <c r="F926" s="15"/>
      <c r="G926" s="15"/>
    </row>
    <row r="927" ht="15.75" customHeight="1">
      <c r="A927" s="15"/>
      <c r="B927" s="15"/>
      <c r="C927" s="15"/>
      <c r="D927" s="15"/>
      <c r="E927" s="15"/>
      <c r="F927" s="15"/>
      <c r="G927" s="15"/>
    </row>
    <row r="928" ht="15.75" customHeight="1">
      <c r="A928" s="15"/>
      <c r="B928" s="15"/>
      <c r="C928" s="15"/>
      <c r="D928" s="15"/>
      <c r="E928" s="15"/>
      <c r="F928" s="15"/>
      <c r="G928" s="15"/>
    </row>
    <row r="929" ht="15.75" customHeight="1">
      <c r="A929" s="15"/>
      <c r="B929" s="15"/>
      <c r="C929" s="15"/>
      <c r="D929" s="15"/>
      <c r="E929" s="15"/>
      <c r="F929" s="15"/>
      <c r="G929" s="15"/>
    </row>
    <row r="930" ht="15.75" customHeight="1">
      <c r="A930" s="15"/>
      <c r="B930" s="15"/>
      <c r="C930" s="15"/>
      <c r="D930" s="15"/>
      <c r="E930" s="15"/>
      <c r="F930" s="15"/>
      <c r="G930" s="15"/>
    </row>
    <row r="931" ht="15.75" customHeight="1">
      <c r="A931" s="15"/>
      <c r="B931" s="15"/>
      <c r="C931" s="15"/>
      <c r="D931" s="15"/>
      <c r="E931" s="15"/>
      <c r="F931" s="15"/>
      <c r="G931" s="15"/>
    </row>
    <row r="932" ht="15.75" customHeight="1">
      <c r="A932" s="15"/>
      <c r="B932" s="15"/>
      <c r="C932" s="15"/>
      <c r="D932" s="15"/>
      <c r="E932" s="15"/>
      <c r="F932" s="15"/>
      <c r="G932" s="15"/>
    </row>
    <row r="933" ht="15.75" customHeight="1">
      <c r="A933" s="15"/>
      <c r="B933" s="15"/>
      <c r="C933" s="15"/>
      <c r="D933" s="15"/>
      <c r="E933" s="15"/>
      <c r="F933" s="15"/>
      <c r="G933" s="15"/>
    </row>
    <row r="934" ht="15.75" customHeight="1">
      <c r="A934" s="15"/>
      <c r="B934" s="15"/>
      <c r="C934" s="15"/>
      <c r="D934" s="15"/>
      <c r="E934" s="15"/>
      <c r="F934" s="15"/>
      <c r="G934" s="15"/>
    </row>
    <row r="935" ht="15.75" customHeight="1">
      <c r="A935" s="15"/>
      <c r="B935" s="15"/>
      <c r="C935" s="15"/>
      <c r="D935" s="15"/>
      <c r="E935" s="15"/>
      <c r="F935" s="15"/>
      <c r="G935" s="15"/>
    </row>
    <row r="936" ht="15.75" customHeight="1">
      <c r="A936" s="15"/>
      <c r="B936" s="15"/>
      <c r="C936" s="15"/>
      <c r="D936" s="15"/>
      <c r="E936" s="15"/>
      <c r="F936" s="15"/>
      <c r="G936" s="15"/>
    </row>
    <row r="937" ht="15.75" customHeight="1">
      <c r="A937" s="15"/>
      <c r="B937" s="15"/>
      <c r="C937" s="15"/>
      <c r="D937" s="15"/>
      <c r="E937" s="15"/>
      <c r="F937" s="15"/>
      <c r="G937" s="15"/>
    </row>
    <row r="938" ht="15.75" customHeight="1">
      <c r="A938" s="15"/>
      <c r="B938" s="15"/>
      <c r="C938" s="15"/>
      <c r="D938" s="15"/>
      <c r="E938" s="15"/>
      <c r="F938" s="15"/>
      <c r="G938" s="15"/>
    </row>
    <row r="939" ht="15.75" customHeight="1">
      <c r="A939" s="15"/>
      <c r="B939" s="15"/>
      <c r="C939" s="15"/>
      <c r="D939" s="15"/>
      <c r="E939" s="15"/>
      <c r="F939" s="15"/>
      <c r="G939" s="15"/>
    </row>
    <row r="940" ht="15.75" customHeight="1">
      <c r="A940" s="15"/>
      <c r="B940" s="15"/>
      <c r="C940" s="15"/>
      <c r="D940" s="15"/>
      <c r="E940" s="15"/>
      <c r="F940" s="15"/>
      <c r="G940" s="15"/>
    </row>
    <row r="941" ht="15.75" customHeight="1">
      <c r="A941" s="15"/>
      <c r="B941" s="15"/>
      <c r="C941" s="15"/>
      <c r="D941" s="15"/>
      <c r="E941" s="15"/>
      <c r="F941" s="15"/>
      <c r="G941" s="15"/>
    </row>
    <row r="942" ht="15.75" customHeight="1">
      <c r="A942" s="15"/>
      <c r="B942" s="15"/>
      <c r="C942" s="15"/>
      <c r="D942" s="15"/>
      <c r="E942" s="15"/>
      <c r="F942" s="15"/>
      <c r="G942" s="15"/>
    </row>
    <row r="943" ht="15.75" customHeight="1">
      <c r="A943" s="15"/>
      <c r="B943" s="15"/>
      <c r="C943" s="15"/>
      <c r="D943" s="15"/>
      <c r="E943" s="15"/>
      <c r="F943" s="15"/>
      <c r="G943" s="15"/>
    </row>
    <row r="944" ht="15.75" customHeight="1">
      <c r="A944" s="15"/>
      <c r="B944" s="15"/>
      <c r="C944" s="15"/>
      <c r="D944" s="15"/>
      <c r="E944" s="15"/>
      <c r="F944" s="15"/>
      <c r="G944" s="15"/>
    </row>
    <row r="945" ht="15.75" customHeight="1">
      <c r="A945" s="15"/>
      <c r="B945" s="15"/>
      <c r="C945" s="15"/>
      <c r="D945" s="15"/>
      <c r="E945" s="15"/>
      <c r="F945" s="15"/>
      <c r="G945" s="15"/>
    </row>
    <row r="946" ht="15.75" customHeight="1">
      <c r="A946" s="15"/>
      <c r="B946" s="15"/>
      <c r="C946" s="15"/>
      <c r="D946" s="15"/>
      <c r="E946" s="15"/>
      <c r="F946" s="15"/>
      <c r="G946" s="15"/>
    </row>
    <row r="947" ht="15.75" customHeight="1">
      <c r="A947" s="15"/>
      <c r="B947" s="15"/>
      <c r="C947" s="15"/>
      <c r="D947" s="15"/>
      <c r="E947" s="15"/>
      <c r="F947" s="15"/>
      <c r="G947" s="15"/>
    </row>
    <row r="948" ht="15.75" customHeight="1">
      <c r="A948" s="15"/>
      <c r="B948" s="15"/>
      <c r="C948" s="15"/>
      <c r="D948" s="15"/>
      <c r="E948" s="15"/>
      <c r="F948" s="15"/>
      <c r="G948" s="15"/>
    </row>
    <row r="949" ht="15.75" customHeight="1">
      <c r="A949" s="15"/>
      <c r="B949" s="15"/>
      <c r="C949" s="15"/>
      <c r="D949" s="15"/>
      <c r="E949" s="15"/>
      <c r="F949" s="15"/>
      <c r="G949" s="15"/>
    </row>
    <row r="950" ht="15.75" customHeight="1">
      <c r="A950" s="15"/>
      <c r="B950" s="15"/>
      <c r="C950" s="15"/>
      <c r="D950" s="15"/>
      <c r="E950" s="15"/>
      <c r="F950" s="15"/>
      <c r="G950" s="15"/>
    </row>
    <row r="951" ht="15.75" customHeight="1">
      <c r="A951" s="15"/>
      <c r="B951" s="15"/>
      <c r="C951" s="15"/>
      <c r="D951" s="15"/>
      <c r="E951" s="15"/>
      <c r="F951" s="15"/>
      <c r="G951" s="15"/>
    </row>
    <row r="952" ht="15.75" customHeight="1">
      <c r="A952" s="15"/>
      <c r="B952" s="15"/>
      <c r="C952" s="15"/>
      <c r="D952" s="15"/>
      <c r="E952" s="15"/>
      <c r="F952" s="15"/>
      <c r="G952" s="15"/>
    </row>
    <row r="953" ht="15.75" customHeight="1">
      <c r="A953" s="15"/>
      <c r="B953" s="15"/>
      <c r="C953" s="15"/>
      <c r="D953" s="15"/>
      <c r="E953" s="15"/>
      <c r="F953" s="15"/>
      <c r="G953" s="15"/>
    </row>
    <row r="954" ht="15.75" customHeight="1">
      <c r="A954" s="15"/>
      <c r="B954" s="15"/>
      <c r="C954" s="15"/>
      <c r="D954" s="15"/>
      <c r="E954" s="15"/>
      <c r="F954" s="15"/>
      <c r="G954" s="15"/>
    </row>
    <row r="955" ht="15.75" customHeight="1">
      <c r="A955" s="15"/>
      <c r="B955" s="15"/>
      <c r="C955" s="15"/>
      <c r="D955" s="15"/>
      <c r="E955" s="15"/>
      <c r="F955" s="15"/>
      <c r="G955" s="15"/>
    </row>
    <row r="956" ht="15.75" customHeight="1">
      <c r="A956" s="15"/>
      <c r="B956" s="15"/>
      <c r="C956" s="15"/>
      <c r="D956" s="15"/>
      <c r="E956" s="15"/>
      <c r="F956" s="15"/>
      <c r="G956" s="15"/>
    </row>
    <row r="957" ht="15.75" customHeight="1">
      <c r="A957" s="15"/>
      <c r="B957" s="15"/>
      <c r="C957" s="15"/>
      <c r="D957" s="15"/>
      <c r="E957" s="15"/>
      <c r="F957" s="15"/>
      <c r="G957" s="15"/>
    </row>
    <row r="958" ht="15.75" customHeight="1">
      <c r="A958" s="15"/>
      <c r="B958" s="15"/>
      <c r="C958" s="15"/>
      <c r="D958" s="15"/>
      <c r="E958" s="15"/>
      <c r="F958" s="15"/>
      <c r="G958" s="15"/>
    </row>
    <row r="959" ht="15.75" customHeight="1">
      <c r="A959" s="15"/>
      <c r="B959" s="15"/>
      <c r="C959" s="15"/>
      <c r="D959" s="15"/>
      <c r="E959" s="15"/>
      <c r="F959" s="15"/>
      <c r="G959" s="15"/>
    </row>
    <row r="960" ht="15.75" customHeight="1">
      <c r="A960" s="15"/>
      <c r="B960" s="15"/>
      <c r="C960" s="15"/>
      <c r="D960" s="15"/>
      <c r="E960" s="15"/>
      <c r="F960" s="15"/>
      <c r="G960" s="15"/>
    </row>
    <row r="961" ht="15.75" customHeight="1">
      <c r="A961" s="15"/>
      <c r="B961" s="15"/>
      <c r="C961" s="15"/>
      <c r="D961" s="15"/>
      <c r="E961" s="15"/>
      <c r="F961" s="15"/>
      <c r="G961" s="15"/>
    </row>
    <row r="962" ht="15.75" customHeight="1">
      <c r="A962" s="15"/>
      <c r="B962" s="15"/>
      <c r="C962" s="15"/>
      <c r="D962" s="15"/>
      <c r="E962" s="15"/>
      <c r="F962" s="15"/>
      <c r="G962" s="15"/>
    </row>
    <row r="963" ht="15.75" customHeight="1">
      <c r="A963" s="15"/>
      <c r="B963" s="15"/>
      <c r="C963" s="15"/>
      <c r="D963" s="15"/>
      <c r="E963" s="15"/>
      <c r="F963" s="15"/>
      <c r="G963" s="15"/>
    </row>
    <row r="964" ht="15.75" customHeight="1">
      <c r="A964" s="15"/>
      <c r="B964" s="15"/>
      <c r="C964" s="15"/>
      <c r="D964" s="15"/>
      <c r="E964" s="15"/>
      <c r="F964" s="15"/>
      <c r="G964" s="15"/>
    </row>
    <row r="965" ht="15.75" customHeight="1">
      <c r="A965" s="15"/>
      <c r="B965" s="15"/>
      <c r="C965" s="15"/>
      <c r="D965" s="15"/>
      <c r="E965" s="15"/>
      <c r="F965" s="15"/>
      <c r="G965" s="15"/>
    </row>
    <row r="966" ht="15.75" customHeight="1">
      <c r="A966" s="15"/>
      <c r="B966" s="15"/>
      <c r="C966" s="15"/>
      <c r="D966" s="15"/>
      <c r="E966" s="15"/>
      <c r="F966" s="15"/>
      <c r="G966" s="15"/>
    </row>
    <row r="967" ht="15.75" customHeight="1">
      <c r="A967" s="15"/>
      <c r="B967" s="15"/>
      <c r="C967" s="15"/>
      <c r="D967" s="15"/>
      <c r="E967" s="15"/>
      <c r="F967" s="15"/>
      <c r="G967" s="15"/>
    </row>
    <row r="968" ht="15.75" customHeight="1">
      <c r="A968" s="15"/>
      <c r="B968" s="15"/>
      <c r="C968" s="15"/>
      <c r="D968" s="15"/>
      <c r="E968" s="15"/>
      <c r="F968" s="15"/>
      <c r="G968" s="15"/>
    </row>
    <row r="969" ht="15.75" customHeight="1">
      <c r="A969" s="15"/>
      <c r="B969" s="15"/>
      <c r="C969" s="15"/>
      <c r="D969" s="15"/>
      <c r="E969" s="15"/>
      <c r="F969" s="15"/>
      <c r="G969" s="15"/>
    </row>
    <row r="970" ht="15.75" customHeight="1">
      <c r="A970" s="15"/>
      <c r="B970" s="15"/>
      <c r="C970" s="15"/>
      <c r="D970" s="15"/>
      <c r="E970" s="15"/>
      <c r="F970" s="15"/>
      <c r="G970" s="15"/>
    </row>
    <row r="971" ht="15.75" customHeight="1">
      <c r="A971" s="15"/>
      <c r="B971" s="15"/>
      <c r="C971" s="15"/>
      <c r="D971" s="15"/>
      <c r="E971" s="15"/>
      <c r="F971" s="15"/>
      <c r="G971" s="15"/>
    </row>
    <row r="972" ht="15.75" customHeight="1">
      <c r="A972" s="15"/>
      <c r="B972" s="15"/>
      <c r="C972" s="15"/>
      <c r="D972" s="15"/>
      <c r="E972" s="15"/>
      <c r="F972" s="15"/>
      <c r="G972" s="15"/>
    </row>
    <row r="973" ht="15.75" customHeight="1">
      <c r="A973" s="15"/>
      <c r="B973" s="15"/>
      <c r="C973" s="15"/>
      <c r="D973" s="15"/>
      <c r="E973" s="15"/>
      <c r="F973" s="15"/>
      <c r="G973" s="15"/>
    </row>
    <row r="974" ht="15.75" customHeight="1">
      <c r="A974" s="15"/>
      <c r="B974" s="15"/>
      <c r="C974" s="15"/>
      <c r="D974" s="15"/>
      <c r="E974" s="15"/>
      <c r="F974" s="15"/>
      <c r="G974" s="15"/>
    </row>
    <row r="975" ht="15.75" customHeight="1">
      <c r="A975" s="15"/>
      <c r="B975" s="15"/>
      <c r="C975" s="15"/>
      <c r="D975" s="15"/>
      <c r="E975" s="15"/>
      <c r="F975" s="15"/>
      <c r="G975" s="15"/>
    </row>
    <row r="976" ht="15.75" customHeight="1">
      <c r="A976" s="15"/>
      <c r="B976" s="15"/>
      <c r="C976" s="15"/>
      <c r="D976" s="15"/>
      <c r="E976" s="15"/>
      <c r="F976" s="15"/>
      <c r="G976" s="15"/>
    </row>
    <row r="977" ht="15.75" customHeight="1">
      <c r="A977" s="15"/>
      <c r="B977" s="15"/>
      <c r="C977" s="15"/>
      <c r="D977" s="15"/>
      <c r="E977" s="15"/>
      <c r="F977" s="15"/>
      <c r="G977" s="15"/>
    </row>
    <row r="978" ht="15.75" customHeight="1">
      <c r="A978" s="15"/>
      <c r="B978" s="15"/>
      <c r="C978" s="15"/>
      <c r="D978" s="15"/>
      <c r="E978" s="15"/>
      <c r="F978" s="15"/>
      <c r="G978" s="15"/>
    </row>
    <row r="979" ht="15.75" customHeight="1">
      <c r="A979" s="15"/>
      <c r="B979" s="15"/>
      <c r="C979" s="15"/>
      <c r="D979" s="15"/>
      <c r="E979" s="15"/>
      <c r="F979" s="15"/>
      <c r="G979" s="15"/>
    </row>
    <row r="980" ht="15.75" customHeight="1">
      <c r="A980" s="15"/>
      <c r="B980" s="15"/>
      <c r="C980" s="15"/>
      <c r="D980" s="15"/>
      <c r="E980" s="15"/>
      <c r="F980" s="15"/>
      <c r="G980" s="15"/>
    </row>
    <row r="981" ht="15.75" customHeight="1">
      <c r="A981" s="15"/>
      <c r="B981" s="15"/>
      <c r="C981" s="15"/>
      <c r="D981" s="15"/>
      <c r="E981" s="15"/>
      <c r="F981" s="15"/>
      <c r="G981" s="15"/>
    </row>
    <row r="982" ht="15.75" customHeight="1">
      <c r="A982" s="15"/>
      <c r="B982" s="15"/>
      <c r="C982" s="15"/>
      <c r="D982" s="15"/>
      <c r="E982" s="15"/>
      <c r="F982" s="15"/>
      <c r="G982" s="15"/>
    </row>
    <row r="983" ht="15.75" customHeight="1">
      <c r="A983" s="15"/>
      <c r="B983" s="15"/>
      <c r="C983" s="15"/>
      <c r="D983" s="15"/>
      <c r="E983" s="15"/>
      <c r="F983" s="15"/>
      <c r="G983" s="15"/>
    </row>
    <row r="984" ht="15.75" customHeight="1">
      <c r="A984" s="15"/>
      <c r="B984" s="15"/>
      <c r="C984" s="15"/>
      <c r="D984" s="15"/>
      <c r="E984" s="15"/>
      <c r="F984" s="15"/>
      <c r="G984" s="15"/>
    </row>
    <row r="985" ht="15.75" customHeight="1">
      <c r="A985" s="15"/>
      <c r="B985" s="15"/>
      <c r="C985" s="15"/>
      <c r="D985" s="15"/>
      <c r="E985" s="15"/>
      <c r="F985" s="15"/>
      <c r="G985" s="15"/>
    </row>
    <row r="986" ht="15.75" customHeight="1">
      <c r="A986" s="15"/>
      <c r="B986" s="15"/>
      <c r="C986" s="15"/>
      <c r="D986" s="15"/>
      <c r="E986" s="15"/>
      <c r="F986" s="15"/>
      <c r="G986" s="15"/>
    </row>
    <row r="987" ht="15.75" customHeight="1">
      <c r="A987" s="15"/>
      <c r="B987" s="15"/>
      <c r="C987" s="15"/>
      <c r="D987" s="15"/>
      <c r="E987" s="15"/>
      <c r="F987" s="15"/>
      <c r="G987" s="15"/>
    </row>
    <row r="988" ht="15.75" customHeight="1">
      <c r="A988" s="15"/>
      <c r="B988" s="15"/>
      <c r="C988" s="15"/>
      <c r="D988" s="15"/>
      <c r="E988" s="15"/>
      <c r="F988" s="15"/>
      <c r="G988" s="15"/>
    </row>
    <row r="989" ht="15.75" customHeight="1">
      <c r="A989" s="15"/>
      <c r="B989" s="15"/>
      <c r="C989" s="15"/>
      <c r="D989" s="15"/>
      <c r="E989" s="15"/>
      <c r="F989" s="15"/>
      <c r="G989" s="15"/>
    </row>
    <row r="990" ht="15.75" customHeight="1">
      <c r="A990" s="15"/>
      <c r="B990" s="15"/>
      <c r="C990" s="15"/>
      <c r="D990" s="15"/>
      <c r="E990" s="15"/>
      <c r="F990" s="15"/>
      <c r="G990" s="15"/>
    </row>
    <row r="991" ht="15.75" customHeight="1">
      <c r="A991" s="15"/>
      <c r="B991" s="15"/>
      <c r="C991" s="15"/>
      <c r="D991" s="15"/>
      <c r="E991" s="15"/>
      <c r="F991" s="15"/>
      <c r="G991" s="15"/>
    </row>
    <row r="992" ht="15.75" customHeight="1">
      <c r="A992" s="15"/>
      <c r="B992" s="15"/>
      <c r="C992" s="15"/>
      <c r="D992" s="15"/>
      <c r="E992" s="15"/>
      <c r="F992" s="15"/>
      <c r="G992" s="15"/>
    </row>
    <row r="993" ht="15.75" customHeight="1">
      <c r="A993" s="15"/>
      <c r="B993" s="15"/>
      <c r="C993" s="15"/>
      <c r="D993" s="15"/>
      <c r="E993" s="15"/>
      <c r="F993" s="15"/>
      <c r="G993" s="15"/>
    </row>
    <row r="994" ht="15.75" customHeight="1">
      <c r="A994" s="15"/>
      <c r="B994" s="15"/>
      <c r="C994" s="15"/>
      <c r="D994" s="15"/>
      <c r="E994" s="15"/>
      <c r="F994" s="15"/>
      <c r="G994" s="15"/>
    </row>
    <row r="995" ht="15.75" customHeight="1">
      <c r="A995" s="15"/>
      <c r="B995" s="15"/>
      <c r="C995" s="15"/>
      <c r="D995" s="15"/>
      <c r="E995" s="15"/>
      <c r="F995" s="15"/>
      <c r="G995" s="15"/>
    </row>
    <row r="996" ht="15.75" customHeight="1">
      <c r="A996" s="15"/>
      <c r="B996" s="15"/>
      <c r="C996" s="15"/>
      <c r="D996" s="15"/>
      <c r="E996" s="15"/>
      <c r="F996" s="15"/>
      <c r="G996" s="15"/>
    </row>
    <row r="997" ht="15.75" customHeight="1">
      <c r="A997" s="15"/>
      <c r="B997" s="15"/>
      <c r="C997" s="15"/>
      <c r="D997" s="15"/>
      <c r="E997" s="15"/>
      <c r="F997" s="15"/>
      <c r="G997" s="15"/>
    </row>
    <row r="998" ht="15.75" customHeight="1">
      <c r="A998" s="15"/>
      <c r="B998" s="15"/>
      <c r="C998" s="15"/>
      <c r="D998" s="15"/>
      <c r="E998" s="15"/>
      <c r="F998" s="15"/>
      <c r="G998" s="15"/>
    </row>
    <row r="999" ht="15.75" customHeight="1">
      <c r="A999" s="15"/>
      <c r="B999" s="15"/>
      <c r="C999" s="15"/>
      <c r="D999" s="15"/>
      <c r="E999" s="15"/>
      <c r="F999" s="15"/>
      <c r="G999" s="15"/>
    </row>
    <row r="1000" ht="15.75" customHeight="1">
      <c r="A1000" s="15"/>
      <c r="B1000" s="15"/>
      <c r="C1000" s="15"/>
      <c r="D1000" s="15"/>
      <c r="E1000" s="15"/>
      <c r="F1000" s="15"/>
      <c r="G1000" s="15"/>
    </row>
  </sheetData>
  <autoFilter ref="$A$1:$Z$226">
    <sortState ref="A1:Z226">
      <sortCondition descending="1" ref="F1:F226"/>
      <sortCondition descending="1" ref="B1:B226"/>
    </sortState>
  </autoFilter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5" t="s">
        <v>348</v>
      </c>
      <c r="B1" s="15" t="s">
        <v>342</v>
      </c>
      <c r="C1" s="15" t="s">
        <v>343</v>
      </c>
      <c r="D1" s="15" t="s">
        <v>344</v>
      </c>
      <c r="E1" s="15" t="s">
        <v>345</v>
      </c>
      <c r="F1" s="15" t="s">
        <v>346</v>
      </c>
      <c r="G1" s="15" t="s">
        <v>347</v>
      </c>
    </row>
    <row r="2">
      <c r="A2" s="15" t="s">
        <v>349</v>
      </c>
      <c r="B2" s="15">
        <v>5.0</v>
      </c>
      <c r="C2" s="15">
        <v>7.0</v>
      </c>
      <c r="D2" s="15">
        <v>0.5</v>
      </c>
      <c r="E2" s="15">
        <v>51.0</v>
      </c>
      <c r="F2" s="15">
        <v>8.0</v>
      </c>
      <c r="G2" s="15">
        <v>2015.0</v>
      </c>
    </row>
    <row r="3">
      <c r="A3" s="15" t="s">
        <v>350</v>
      </c>
      <c r="B3" s="15">
        <v>4.0</v>
      </c>
      <c r="C3" s="15">
        <v>6.0</v>
      </c>
      <c r="D3" s="15">
        <v>0.444444444444444</v>
      </c>
      <c r="E3" s="15">
        <v>62.0</v>
      </c>
      <c r="F3" s="15">
        <v>6.0</v>
      </c>
      <c r="G3" s="15">
        <v>2016.0</v>
      </c>
    </row>
    <row r="4">
      <c r="A4" s="15" t="s">
        <v>351</v>
      </c>
      <c r="B4" s="15">
        <v>4.0</v>
      </c>
      <c r="C4" s="15">
        <v>5.0</v>
      </c>
      <c r="D4" s="15">
        <v>0.8</v>
      </c>
      <c r="E4" s="15">
        <v>43.0</v>
      </c>
      <c r="F4" s="15">
        <v>5.0</v>
      </c>
      <c r="G4" s="15">
        <v>2020.0</v>
      </c>
    </row>
    <row r="5">
      <c r="A5" s="15" t="s">
        <v>352</v>
      </c>
      <c r="B5" s="15">
        <v>4.0</v>
      </c>
      <c r="C5" s="15">
        <v>5.0</v>
      </c>
      <c r="D5" s="15">
        <v>0.8</v>
      </c>
      <c r="E5" s="15">
        <v>43.0</v>
      </c>
      <c r="F5" s="15">
        <v>5.0</v>
      </c>
      <c r="G5" s="15">
        <v>2020.0</v>
      </c>
    </row>
    <row r="6">
      <c r="A6" s="15" t="s">
        <v>353</v>
      </c>
      <c r="B6" s="15">
        <v>3.0</v>
      </c>
      <c r="C6" s="15">
        <v>5.0</v>
      </c>
      <c r="D6" s="15">
        <v>0.375</v>
      </c>
      <c r="E6" s="15">
        <v>63.0</v>
      </c>
      <c r="F6" s="15">
        <v>5.0</v>
      </c>
      <c r="G6" s="15">
        <v>2017.0</v>
      </c>
    </row>
    <row r="7">
      <c r="A7" s="15" t="s">
        <v>354</v>
      </c>
      <c r="B7" s="15">
        <v>3.0</v>
      </c>
      <c r="C7" s="15">
        <v>5.0</v>
      </c>
      <c r="D7" s="15">
        <v>0.375</v>
      </c>
      <c r="E7" s="15">
        <v>63.0</v>
      </c>
      <c r="F7" s="15">
        <v>5.0</v>
      </c>
      <c r="G7" s="15">
        <v>2017.0</v>
      </c>
    </row>
    <row r="8">
      <c r="A8" s="15" t="s">
        <v>355</v>
      </c>
      <c r="B8" s="15">
        <v>4.0</v>
      </c>
      <c r="C8" s="15">
        <v>4.0</v>
      </c>
      <c r="D8" s="15">
        <v>0.8</v>
      </c>
      <c r="E8" s="15">
        <v>41.0</v>
      </c>
      <c r="F8" s="15">
        <v>4.0</v>
      </c>
      <c r="G8" s="15">
        <v>2020.0</v>
      </c>
    </row>
    <row r="9">
      <c r="A9" s="15" t="s">
        <v>356</v>
      </c>
      <c r="B9" s="15">
        <v>2.0</v>
      </c>
      <c r="C9" s="15">
        <v>4.0</v>
      </c>
      <c r="D9" s="15">
        <v>0.5</v>
      </c>
      <c r="E9" s="15">
        <v>18.0</v>
      </c>
      <c r="F9" s="15">
        <v>4.0</v>
      </c>
      <c r="G9" s="15">
        <v>2021.0</v>
      </c>
    </row>
    <row r="10">
      <c r="A10" s="15" t="s">
        <v>357</v>
      </c>
      <c r="B10" s="15">
        <v>2.0</v>
      </c>
      <c r="C10" s="15">
        <v>3.0</v>
      </c>
      <c r="D10" s="15">
        <v>0.666666666666667</v>
      </c>
      <c r="E10" s="15">
        <v>9.0</v>
      </c>
      <c r="F10" s="15">
        <v>4.0</v>
      </c>
      <c r="G10" s="15">
        <v>2022.0</v>
      </c>
    </row>
    <row r="11">
      <c r="A11" s="15" t="s">
        <v>358</v>
      </c>
      <c r="B11" s="15">
        <v>2.0</v>
      </c>
      <c r="C11" s="15">
        <v>3.0</v>
      </c>
      <c r="D11" s="15">
        <v>0.4</v>
      </c>
      <c r="E11" s="15">
        <v>11.0</v>
      </c>
      <c r="F11" s="15">
        <v>4.0</v>
      </c>
      <c r="G11" s="15">
        <v>2020.0</v>
      </c>
    </row>
    <row r="12">
      <c r="A12" s="15" t="s">
        <v>359</v>
      </c>
      <c r="B12" s="15">
        <v>2.0</v>
      </c>
      <c r="C12" s="15">
        <v>3.0</v>
      </c>
      <c r="D12" s="15">
        <v>0.4</v>
      </c>
      <c r="E12" s="15">
        <v>11.0</v>
      </c>
      <c r="F12" s="15">
        <v>4.0</v>
      </c>
      <c r="G12" s="15">
        <v>2020.0</v>
      </c>
    </row>
    <row r="13">
      <c r="A13" s="15" t="s">
        <v>360</v>
      </c>
      <c r="B13" s="15">
        <v>2.0</v>
      </c>
      <c r="C13" s="15">
        <v>2.0</v>
      </c>
      <c r="D13" s="15">
        <v>1.0</v>
      </c>
      <c r="E13" s="15">
        <v>8.0</v>
      </c>
      <c r="F13" s="15">
        <v>4.0</v>
      </c>
      <c r="G13" s="15">
        <v>2023.0</v>
      </c>
    </row>
    <row r="14">
      <c r="A14" s="15" t="s">
        <v>361</v>
      </c>
      <c r="B14" s="15">
        <v>3.0</v>
      </c>
      <c r="C14" s="15">
        <v>3.0</v>
      </c>
      <c r="D14" s="15">
        <v>0.6</v>
      </c>
      <c r="E14" s="15">
        <v>27.0</v>
      </c>
      <c r="F14" s="15">
        <v>3.0</v>
      </c>
      <c r="G14" s="15">
        <v>2020.0</v>
      </c>
    </row>
    <row r="15">
      <c r="A15" s="15" t="s">
        <v>362</v>
      </c>
      <c r="B15" s="15">
        <v>3.0</v>
      </c>
      <c r="C15" s="15">
        <v>3.0</v>
      </c>
      <c r="D15" s="15">
        <v>0.5</v>
      </c>
      <c r="E15" s="15">
        <v>83.0</v>
      </c>
      <c r="F15" s="15">
        <v>3.0</v>
      </c>
      <c r="G15" s="15">
        <v>2019.0</v>
      </c>
    </row>
    <row r="16">
      <c r="A16" s="15" t="s">
        <v>363</v>
      </c>
      <c r="B16" s="15">
        <v>3.0</v>
      </c>
      <c r="C16" s="15">
        <v>3.0</v>
      </c>
      <c r="D16" s="15">
        <v>0.3</v>
      </c>
      <c r="E16" s="15">
        <v>104.0</v>
      </c>
      <c r="F16" s="15">
        <v>3.0</v>
      </c>
      <c r="G16" s="15">
        <v>2015.0</v>
      </c>
    </row>
    <row r="17">
      <c r="A17" s="15" t="s">
        <v>364</v>
      </c>
      <c r="B17" s="15">
        <v>3.0</v>
      </c>
      <c r="C17" s="15">
        <v>3.0</v>
      </c>
      <c r="D17" s="15">
        <v>0.3</v>
      </c>
      <c r="E17" s="15">
        <v>24.0</v>
      </c>
      <c r="F17" s="15">
        <v>3.0</v>
      </c>
      <c r="G17" s="15">
        <v>2015.0</v>
      </c>
    </row>
    <row r="18">
      <c r="A18" s="15" t="s">
        <v>365</v>
      </c>
      <c r="B18" s="15">
        <v>2.0</v>
      </c>
      <c r="C18" s="15">
        <v>3.0</v>
      </c>
      <c r="D18" s="15">
        <v>0.4</v>
      </c>
      <c r="E18" s="15">
        <v>29.0</v>
      </c>
      <c r="F18" s="15">
        <v>3.0</v>
      </c>
      <c r="G18" s="15">
        <v>2020.0</v>
      </c>
    </row>
    <row r="19">
      <c r="A19" s="15" t="s">
        <v>366</v>
      </c>
      <c r="B19" s="15">
        <v>2.0</v>
      </c>
      <c r="C19" s="15">
        <v>2.0</v>
      </c>
      <c r="D19" s="15">
        <v>0.666666666666667</v>
      </c>
      <c r="E19" s="15">
        <v>6.0</v>
      </c>
      <c r="F19" s="15">
        <v>3.0</v>
      </c>
      <c r="G19" s="15">
        <v>2022.0</v>
      </c>
    </row>
    <row r="20">
      <c r="A20" s="15" t="s">
        <v>367</v>
      </c>
      <c r="B20" s="15">
        <v>2.0</v>
      </c>
      <c r="C20" s="15">
        <v>3.0</v>
      </c>
      <c r="D20" s="15">
        <v>0.222222222222222</v>
      </c>
      <c r="E20" s="15">
        <v>16.0</v>
      </c>
      <c r="F20" s="15">
        <v>3.0</v>
      </c>
      <c r="G20" s="15">
        <v>2016.0</v>
      </c>
    </row>
    <row r="21" ht="15.75" customHeight="1">
      <c r="A21" s="15" t="s">
        <v>368</v>
      </c>
      <c r="B21" s="15">
        <v>1.0</v>
      </c>
      <c r="C21" s="15">
        <v>2.0</v>
      </c>
      <c r="D21" s="15">
        <v>0.5</v>
      </c>
      <c r="E21" s="15">
        <v>6.0</v>
      </c>
      <c r="F21" s="15">
        <v>3.0</v>
      </c>
      <c r="G21" s="15">
        <v>2023.0</v>
      </c>
    </row>
    <row r="22" ht="15.75" customHeight="1">
      <c r="A22" s="15" t="s">
        <v>369</v>
      </c>
      <c r="B22" s="15">
        <v>1.0</v>
      </c>
      <c r="C22" s="15">
        <v>3.0</v>
      </c>
      <c r="D22" s="15">
        <v>0.0769230769230769</v>
      </c>
      <c r="E22" s="15">
        <v>12.0</v>
      </c>
      <c r="F22" s="15">
        <v>3.0</v>
      </c>
      <c r="G22" s="15">
        <v>2012.0</v>
      </c>
    </row>
    <row r="23" ht="15.75" customHeight="1">
      <c r="A23" s="15" t="s">
        <v>370</v>
      </c>
      <c r="B23" s="15">
        <v>1.0</v>
      </c>
      <c r="C23" s="15">
        <v>1.0</v>
      </c>
      <c r="D23" s="15">
        <v>0.0769230769230769</v>
      </c>
      <c r="E23" s="15">
        <v>3.0</v>
      </c>
      <c r="F23" s="15">
        <v>3.0</v>
      </c>
      <c r="G23" s="15">
        <v>2012.0</v>
      </c>
    </row>
    <row r="24" ht="15.75" customHeight="1">
      <c r="A24" s="15" t="s">
        <v>371</v>
      </c>
      <c r="B24" s="15">
        <v>2.0</v>
      </c>
      <c r="C24" s="15">
        <v>2.0</v>
      </c>
      <c r="D24" s="15">
        <v>0.666666666666667</v>
      </c>
      <c r="E24" s="15">
        <v>12.0</v>
      </c>
      <c r="F24" s="15">
        <v>2.0</v>
      </c>
      <c r="G24" s="15">
        <v>2022.0</v>
      </c>
    </row>
    <row r="25" ht="15.75" customHeight="1">
      <c r="A25" s="15" t="s">
        <v>372</v>
      </c>
      <c r="B25" s="15">
        <v>2.0</v>
      </c>
      <c r="C25" s="15">
        <v>2.0</v>
      </c>
      <c r="D25" s="15">
        <v>0.333333333333333</v>
      </c>
      <c r="E25" s="15">
        <v>9.0</v>
      </c>
      <c r="F25" s="15">
        <v>2.0</v>
      </c>
      <c r="G25" s="15">
        <v>2019.0</v>
      </c>
    </row>
    <row r="26" ht="15.75" customHeight="1">
      <c r="A26" s="15" t="s">
        <v>373</v>
      </c>
      <c r="B26" s="15">
        <v>2.0</v>
      </c>
      <c r="C26" s="15">
        <v>2.0</v>
      </c>
      <c r="D26" s="15">
        <v>0.125</v>
      </c>
      <c r="E26" s="15">
        <v>22.0</v>
      </c>
      <c r="F26" s="15">
        <v>2.0</v>
      </c>
      <c r="G26" s="15">
        <v>2009.0</v>
      </c>
    </row>
    <row r="27" ht="15.75" customHeight="1">
      <c r="A27" s="15" t="s">
        <v>374</v>
      </c>
      <c r="B27" s="15">
        <v>2.0</v>
      </c>
      <c r="C27" s="15">
        <v>2.0</v>
      </c>
      <c r="D27" s="15">
        <v>0.5</v>
      </c>
      <c r="E27" s="15">
        <v>45.0</v>
      </c>
      <c r="F27" s="15">
        <v>2.0</v>
      </c>
      <c r="G27" s="15">
        <v>2021.0</v>
      </c>
    </row>
    <row r="28" ht="15.75" customHeight="1">
      <c r="A28" s="15" t="s">
        <v>375</v>
      </c>
      <c r="B28" s="15">
        <v>2.0</v>
      </c>
      <c r="C28" s="15">
        <v>2.0</v>
      </c>
      <c r="D28" s="15">
        <v>1.0</v>
      </c>
      <c r="E28" s="15">
        <v>34.0</v>
      </c>
      <c r="F28" s="15">
        <v>2.0</v>
      </c>
      <c r="G28" s="15">
        <v>2023.0</v>
      </c>
    </row>
    <row r="29" ht="15.75" customHeight="1">
      <c r="A29" s="15" t="s">
        <v>376</v>
      </c>
      <c r="B29" s="15">
        <v>2.0</v>
      </c>
      <c r="C29" s="15">
        <v>2.0</v>
      </c>
      <c r="D29" s="15">
        <v>0.4</v>
      </c>
      <c r="E29" s="15">
        <v>22.0</v>
      </c>
      <c r="F29" s="15">
        <v>2.0</v>
      </c>
      <c r="G29" s="15">
        <v>2020.0</v>
      </c>
    </row>
    <row r="30" ht="15.75" customHeight="1">
      <c r="A30" s="15" t="s">
        <v>377</v>
      </c>
      <c r="B30" s="15">
        <v>2.0</v>
      </c>
      <c r="C30" s="15">
        <v>2.0</v>
      </c>
      <c r="D30" s="15">
        <v>0.285714285714286</v>
      </c>
      <c r="E30" s="15">
        <v>22.0</v>
      </c>
      <c r="F30" s="15">
        <v>2.0</v>
      </c>
      <c r="G30" s="15">
        <v>2018.0</v>
      </c>
    </row>
    <row r="31" ht="15.75" customHeight="1">
      <c r="A31" s="15" t="s">
        <v>378</v>
      </c>
      <c r="B31" s="15">
        <v>2.0</v>
      </c>
      <c r="C31" s="15">
        <v>2.0</v>
      </c>
      <c r="D31" s="15">
        <v>0.4</v>
      </c>
      <c r="E31" s="15">
        <v>19.0</v>
      </c>
      <c r="F31" s="15">
        <v>2.0</v>
      </c>
      <c r="G31" s="15">
        <v>2020.0</v>
      </c>
    </row>
    <row r="32" ht="15.75" customHeight="1">
      <c r="A32" s="15" t="s">
        <v>379</v>
      </c>
      <c r="B32" s="15">
        <v>2.0</v>
      </c>
      <c r="C32" s="15">
        <v>2.0</v>
      </c>
      <c r="D32" s="15">
        <v>0.4</v>
      </c>
      <c r="E32" s="15">
        <v>35.0</v>
      </c>
      <c r="F32" s="15">
        <v>2.0</v>
      </c>
      <c r="G32" s="15">
        <v>2020.0</v>
      </c>
    </row>
    <row r="33" ht="15.75" customHeight="1">
      <c r="A33" s="15" t="s">
        <v>380</v>
      </c>
      <c r="B33" s="15">
        <v>2.0</v>
      </c>
      <c r="C33" s="15">
        <v>2.0</v>
      </c>
      <c r="D33" s="15">
        <v>0.181818181818182</v>
      </c>
      <c r="E33" s="15">
        <v>147.0</v>
      </c>
      <c r="F33" s="15">
        <v>2.0</v>
      </c>
      <c r="G33" s="15">
        <v>2014.0</v>
      </c>
    </row>
    <row r="34" ht="15.75" customHeight="1">
      <c r="A34" s="15" t="s">
        <v>381</v>
      </c>
      <c r="B34" s="15">
        <v>2.0</v>
      </c>
      <c r="C34" s="15">
        <v>2.0</v>
      </c>
      <c r="D34" s="15">
        <v>0.285714285714286</v>
      </c>
      <c r="E34" s="15">
        <v>14.0</v>
      </c>
      <c r="F34" s="15">
        <v>2.0</v>
      </c>
      <c r="G34" s="15">
        <v>2018.0</v>
      </c>
    </row>
    <row r="35" ht="15.75" customHeight="1">
      <c r="A35" s="15" t="s">
        <v>382</v>
      </c>
      <c r="B35" s="15">
        <v>2.0</v>
      </c>
      <c r="C35" s="15">
        <v>2.0</v>
      </c>
      <c r="D35" s="15">
        <v>0.5</v>
      </c>
      <c r="E35" s="15">
        <v>7.0</v>
      </c>
      <c r="F35" s="15">
        <v>2.0</v>
      </c>
      <c r="G35" s="15">
        <v>2021.0</v>
      </c>
    </row>
    <row r="36" ht="15.75" customHeight="1">
      <c r="A36" s="15" t="s">
        <v>383</v>
      </c>
      <c r="B36" s="15">
        <v>2.0</v>
      </c>
      <c r="C36" s="15">
        <v>2.0</v>
      </c>
      <c r="D36" s="15">
        <v>0.333333333333333</v>
      </c>
      <c r="E36" s="15">
        <v>147.0</v>
      </c>
      <c r="F36" s="15">
        <v>2.0</v>
      </c>
      <c r="G36" s="15">
        <v>2019.0</v>
      </c>
    </row>
    <row r="37" ht="15.75" customHeight="1">
      <c r="A37" s="15" t="s">
        <v>384</v>
      </c>
      <c r="B37" s="15">
        <v>2.0</v>
      </c>
      <c r="C37" s="15">
        <v>2.0</v>
      </c>
      <c r="D37" s="15">
        <v>0.4</v>
      </c>
      <c r="E37" s="15">
        <v>19.0</v>
      </c>
      <c r="F37" s="15">
        <v>2.0</v>
      </c>
      <c r="G37" s="15">
        <v>2020.0</v>
      </c>
    </row>
    <row r="38" ht="15.75" customHeight="1">
      <c r="A38" s="15" t="s">
        <v>385</v>
      </c>
      <c r="B38" s="15">
        <v>2.0</v>
      </c>
      <c r="C38" s="15">
        <v>2.0</v>
      </c>
      <c r="D38" s="15">
        <v>0.285714285714286</v>
      </c>
      <c r="E38" s="15">
        <v>29.0</v>
      </c>
      <c r="F38" s="15">
        <v>2.0</v>
      </c>
      <c r="G38" s="15">
        <v>2018.0</v>
      </c>
    </row>
    <row r="39" ht="15.75" customHeight="1">
      <c r="A39" s="15" t="s">
        <v>386</v>
      </c>
      <c r="B39" s="15">
        <v>2.0</v>
      </c>
      <c r="C39" s="15">
        <v>2.0</v>
      </c>
      <c r="D39" s="15">
        <v>1.0</v>
      </c>
      <c r="E39" s="15">
        <v>34.0</v>
      </c>
      <c r="F39" s="15">
        <v>2.0</v>
      </c>
      <c r="G39" s="15">
        <v>2023.0</v>
      </c>
    </row>
    <row r="40" ht="15.75" customHeight="1">
      <c r="A40" s="15" t="s">
        <v>387</v>
      </c>
      <c r="B40" s="15">
        <v>2.0</v>
      </c>
      <c r="C40" s="15">
        <v>2.0</v>
      </c>
      <c r="D40" s="15">
        <v>0.4</v>
      </c>
      <c r="E40" s="15">
        <v>7.0</v>
      </c>
      <c r="F40" s="15">
        <v>2.0</v>
      </c>
      <c r="G40" s="15">
        <v>2020.0</v>
      </c>
    </row>
    <row r="41" ht="15.75" customHeight="1">
      <c r="A41" s="15" t="s">
        <v>388</v>
      </c>
      <c r="B41" s="15">
        <v>2.0</v>
      </c>
      <c r="C41" s="15">
        <v>2.0</v>
      </c>
      <c r="D41" s="15">
        <v>0.4</v>
      </c>
      <c r="E41" s="15">
        <v>35.0</v>
      </c>
      <c r="F41" s="15">
        <v>2.0</v>
      </c>
      <c r="G41" s="15">
        <v>2020.0</v>
      </c>
    </row>
    <row r="42" ht="15.75" customHeight="1">
      <c r="A42" s="15" t="s">
        <v>389</v>
      </c>
      <c r="B42" s="15">
        <v>2.0</v>
      </c>
      <c r="C42" s="15">
        <v>2.0</v>
      </c>
      <c r="D42" s="15">
        <v>0.5</v>
      </c>
      <c r="E42" s="15">
        <v>8.0</v>
      </c>
      <c r="F42" s="15">
        <v>2.0</v>
      </c>
      <c r="G42" s="15">
        <v>2021.0</v>
      </c>
    </row>
    <row r="43" ht="15.75" customHeight="1">
      <c r="A43" s="15" t="s">
        <v>390</v>
      </c>
      <c r="B43" s="15">
        <v>2.0</v>
      </c>
      <c r="C43" s="15">
        <v>2.0</v>
      </c>
      <c r="D43" s="15">
        <v>0.333333333333333</v>
      </c>
      <c r="E43" s="15">
        <v>40.0</v>
      </c>
      <c r="F43" s="15">
        <v>2.0</v>
      </c>
      <c r="G43" s="15">
        <v>2019.0</v>
      </c>
    </row>
    <row r="44" ht="15.75" customHeight="1">
      <c r="A44" s="15" t="s">
        <v>391</v>
      </c>
      <c r="B44" s="15">
        <v>2.0</v>
      </c>
      <c r="C44" s="15">
        <v>2.0</v>
      </c>
      <c r="D44" s="15">
        <v>0.4</v>
      </c>
      <c r="E44" s="15">
        <v>19.0</v>
      </c>
      <c r="F44" s="15">
        <v>2.0</v>
      </c>
      <c r="G44" s="15">
        <v>2020.0</v>
      </c>
    </row>
    <row r="45" ht="15.75" customHeight="1">
      <c r="A45" s="15" t="s">
        <v>392</v>
      </c>
      <c r="B45" s="15">
        <v>2.0</v>
      </c>
      <c r="C45" s="15">
        <v>2.0</v>
      </c>
      <c r="D45" s="15">
        <v>0.4</v>
      </c>
      <c r="E45" s="15">
        <v>7.0</v>
      </c>
      <c r="F45" s="15">
        <v>2.0</v>
      </c>
      <c r="G45" s="15">
        <v>2020.0</v>
      </c>
    </row>
    <row r="46" ht="15.75" customHeight="1">
      <c r="A46" s="15" t="s">
        <v>393</v>
      </c>
      <c r="B46" s="15">
        <v>2.0</v>
      </c>
      <c r="C46" s="15">
        <v>2.0</v>
      </c>
      <c r="D46" s="15">
        <v>0.4</v>
      </c>
      <c r="E46" s="15">
        <v>35.0</v>
      </c>
      <c r="F46" s="15">
        <v>2.0</v>
      </c>
      <c r="G46" s="15">
        <v>2020.0</v>
      </c>
      <c r="J46" s="14">
        <f>50/463</f>
        <v>0.1079913607</v>
      </c>
    </row>
    <row r="47" ht="15.75" customHeight="1">
      <c r="A47" s="15" t="s">
        <v>394</v>
      </c>
      <c r="B47" s="15">
        <v>2.0</v>
      </c>
      <c r="C47" s="15">
        <v>2.0</v>
      </c>
      <c r="D47" s="15">
        <v>0.333333333333333</v>
      </c>
      <c r="E47" s="15">
        <v>40.0</v>
      </c>
      <c r="F47" s="15">
        <v>2.0</v>
      </c>
      <c r="G47" s="15">
        <v>2019.0</v>
      </c>
    </row>
    <row r="48" ht="15.75" customHeight="1">
      <c r="A48" s="15" t="s">
        <v>395</v>
      </c>
      <c r="B48" s="15">
        <v>2.0</v>
      </c>
      <c r="C48" s="15">
        <v>2.0</v>
      </c>
      <c r="D48" s="15">
        <v>0.333333333333333</v>
      </c>
      <c r="E48" s="15">
        <v>9.0</v>
      </c>
      <c r="F48" s="15">
        <v>2.0</v>
      </c>
      <c r="G48" s="15">
        <v>2019.0</v>
      </c>
    </row>
    <row r="49" ht="15.75" customHeight="1">
      <c r="A49" s="15" t="s">
        <v>396</v>
      </c>
      <c r="B49" s="15">
        <v>2.0</v>
      </c>
      <c r="C49" s="15">
        <v>2.0</v>
      </c>
      <c r="D49" s="15">
        <v>0.4</v>
      </c>
      <c r="E49" s="15">
        <v>19.0</v>
      </c>
      <c r="F49" s="15">
        <v>2.0</v>
      </c>
      <c r="G49" s="15">
        <v>2020.0</v>
      </c>
    </row>
    <row r="50" ht="15.75" customHeight="1">
      <c r="A50" s="15" t="s">
        <v>397</v>
      </c>
      <c r="B50" s="15">
        <v>2.0</v>
      </c>
      <c r="C50" s="15">
        <v>2.0</v>
      </c>
      <c r="D50" s="15">
        <v>0.125</v>
      </c>
      <c r="E50" s="15">
        <v>4.0</v>
      </c>
      <c r="F50" s="15">
        <v>2.0</v>
      </c>
      <c r="G50" s="15">
        <v>2009.0</v>
      </c>
    </row>
    <row r="51" ht="15.75" customHeight="1">
      <c r="A51" s="15" t="s">
        <v>398</v>
      </c>
      <c r="B51" s="15">
        <v>2.0</v>
      </c>
      <c r="C51" s="15">
        <v>2.0</v>
      </c>
      <c r="D51" s="15">
        <v>0.2</v>
      </c>
      <c r="E51" s="15">
        <v>16.0</v>
      </c>
      <c r="F51" s="15">
        <v>2.0</v>
      </c>
      <c r="G51" s="15">
        <v>2015.0</v>
      </c>
    </row>
    <row r="52" ht="15.75" customHeight="1">
      <c r="A52" s="15" t="s">
        <v>399</v>
      </c>
      <c r="B52" s="15">
        <v>2.0</v>
      </c>
      <c r="C52" s="15">
        <v>2.0</v>
      </c>
      <c r="D52" s="15">
        <v>0.666666666666667</v>
      </c>
      <c r="E52" s="15">
        <v>12.0</v>
      </c>
      <c r="F52" s="15">
        <v>2.0</v>
      </c>
      <c r="G52" s="15">
        <v>2022.0</v>
      </c>
    </row>
    <row r="53" ht="15.75" customHeight="1">
      <c r="A53" s="15" t="s">
        <v>400</v>
      </c>
      <c r="B53" s="15">
        <v>2.0</v>
      </c>
      <c r="C53" s="15">
        <v>2.0</v>
      </c>
      <c r="D53" s="15">
        <v>0.666666666666667</v>
      </c>
      <c r="E53" s="15">
        <v>12.0</v>
      </c>
      <c r="F53" s="15">
        <v>2.0</v>
      </c>
      <c r="G53" s="15">
        <v>2022.0</v>
      </c>
    </row>
    <row r="54" ht="15.75" customHeight="1">
      <c r="A54" s="15" t="s">
        <v>401</v>
      </c>
      <c r="B54" s="15">
        <v>2.0</v>
      </c>
      <c r="C54" s="15">
        <v>2.0</v>
      </c>
      <c r="D54" s="15">
        <v>0.2</v>
      </c>
      <c r="E54" s="15">
        <v>16.0</v>
      </c>
      <c r="F54" s="15">
        <v>2.0</v>
      </c>
      <c r="G54" s="15">
        <v>2015.0</v>
      </c>
    </row>
    <row r="55" ht="15.75" customHeight="1">
      <c r="A55" s="15" t="s">
        <v>402</v>
      </c>
      <c r="B55" s="15">
        <v>2.0</v>
      </c>
      <c r="C55" s="15">
        <v>2.0</v>
      </c>
      <c r="D55" s="15">
        <v>0.333333333333333</v>
      </c>
      <c r="E55" s="15">
        <v>24.0</v>
      </c>
      <c r="F55" s="15">
        <v>2.0</v>
      </c>
      <c r="G55" s="15">
        <v>2019.0</v>
      </c>
    </row>
    <row r="56" ht="15.75" customHeight="1">
      <c r="A56" s="15" t="s">
        <v>403</v>
      </c>
      <c r="B56" s="15">
        <v>2.0</v>
      </c>
      <c r="C56" s="15">
        <v>2.0</v>
      </c>
      <c r="D56" s="15">
        <v>0.285714285714286</v>
      </c>
      <c r="E56" s="15">
        <v>8.0</v>
      </c>
      <c r="F56" s="15">
        <v>2.0</v>
      </c>
      <c r="G56" s="15">
        <v>2018.0</v>
      </c>
    </row>
    <row r="57" ht="15.75" customHeight="1">
      <c r="A57" s="15" t="s">
        <v>404</v>
      </c>
      <c r="B57" s="15">
        <v>2.0</v>
      </c>
      <c r="C57" s="15">
        <v>2.0</v>
      </c>
      <c r="D57" s="15">
        <v>0.666666666666667</v>
      </c>
      <c r="E57" s="15">
        <v>20.0</v>
      </c>
      <c r="F57" s="15">
        <v>2.0</v>
      </c>
      <c r="G57" s="15">
        <v>2022.0</v>
      </c>
    </row>
    <row r="58" ht="15.75" customHeight="1">
      <c r="A58" s="15" t="s">
        <v>405</v>
      </c>
      <c r="B58" s="15">
        <v>2.0</v>
      </c>
      <c r="C58" s="15">
        <v>2.0</v>
      </c>
      <c r="D58" s="15">
        <v>0.222222222222222</v>
      </c>
      <c r="E58" s="15">
        <v>42.0</v>
      </c>
      <c r="F58" s="15">
        <v>2.0</v>
      </c>
      <c r="G58" s="15">
        <v>2016.0</v>
      </c>
    </row>
    <row r="59" ht="15.75" customHeight="1">
      <c r="A59" s="15" t="s">
        <v>406</v>
      </c>
      <c r="B59" s="15">
        <v>2.0</v>
      </c>
      <c r="C59" s="15">
        <v>2.0</v>
      </c>
      <c r="D59" s="15">
        <v>1.0</v>
      </c>
      <c r="E59" s="15">
        <v>10.0</v>
      </c>
      <c r="F59" s="15">
        <v>2.0</v>
      </c>
      <c r="G59" s="15">
        <v>2023.0</v>
      </c>
    </row>
    <row r="60" ht="15.75" customHeight="1">
      <c r="A60" s="15" t="s">
        <v>407</v>
      </c>
      <c r="B60" s="15">
        <v>2.0</v>
      </c>
      <c r="C60" s="15">
        <v>2.0</v>
      </c>
      <c r="D60" s="15">
        <v>0.666666666666667</v>
      </c>
      <c r="E60" s="15">
        <v>7.0</v>
      </c>
      <c r="F60" s="15">
        <v>2.0</v>
      </c>
      <c r="G60" s="15">
        <v>2022.0</v>
      </c>
    </row>
    <row r="61" ht="15.75" customHeight="1">
      <c r="A61" s="15" t="s">
        <v>408</v>
      </c>
      <c r="B61" s="15">
        <v>2.0</v>
      </c>
      <c r="C61" s="15">
        <v>2.0</v>
      </c>
      <c r="D61" s="15">
        <v>0.285714285714286</v>
      </c>
      <c r="E61" s="15">
        <v>8.0</v>
      </c>
      <c r="F61" s="15">
        <v>2.0</v>
      </c>
      <c r="G61" s="15">
        <v>2018.0</v>
      </c>
    </row>
    <row r="62" ht="15.75" customHeight="1">
      <c r="A62" s="15" t="s">
        <v>409</v>
      </c>
      <c r="B62" s="15">
        <v>2.0</v>
      </c>
      <c r="C62" s="15">
        <v>2.0</v>
      </c>
      <c r="D62" s="15">
        <v>0.25</v>
      </c>
      <c r="E62" s="15">
        <v>48.0</v>
      </c>
      <c r="F62" s="15">
        <v>2.0</v>
      </c>
      <c r="G62" s="15">
        <v>2017.0</v>
      </c>
    </row>
    <row r="63" ht="15.75" customHeight="1">
      <c r="A63" s="15" t="s">
        <v>410</v>
      </c>
      <c r="B63" s="15">
        <v>2.0</v>
      </c>
      <c r="C63" s="15">
        <v>2.0</v>
      </c>
      <c r="D63" s="15">
        <v>0.666666666666667</v>
      </c>
      <c r="E63" s="15">
        <v>12.0</v>
      </c>
      <c r="F63" s="15">
        <v>2.0</v>
      </c>
      <c r="G63" s="15">
        <v>2022.0</v>
      </c>
    </row>
    <row r="64" ht="15.75" customHeight="1">
      <c r="A64" s="15" t="s">
        <v>411</v>
      </c>
      <c r="B64" s="15">
        <v>2.0</v>
      </c>
      <c r="C64" s="15">
        <v>2.0</v>
      </c>
      <c r="D64" s="15">
        <v>0.25</v>
      </c>
      <c r="E64" s="15">
        <v>26.0</v>
      </c>
      <c r="F64" s="15">
        <v>2.0</v>
      </c>
      <c r="G64" s="15">
        <v>2017.0</v>
      </c>
    </row>
    <row r="65" ht="15.75" customHeight="1">
      <c r="A65" s="15" t="s">
        <v>412</v>
      </c>
      <c r="B65" s="15">
        <v>2.0</v>
      </c>
      <c r="C65" s="15">
        <v>2.0</v>
      </c>
      <c r="D65" s="15">
        <v>0.666666666666667</v>
      </c>
      <c r="E65" s="15">
        <v>6.0</v>
      </c>
      <c r="F65" s="15">
        <v>2.0</v>
      </c>
      <c r="G65" s="15">
        <v>2022.0</v>
      </c>
    </row>
    <row r="66" ht="15.75" customHeight="1">
      <c r="A66" s="15" t="s">
        <v>413</v>
      </c>
      <c r="B66" s="15">
        <v>2.0</v>
      </c>
      <c r="C66" s="15">
        <v>2.0</v>
      </c>
      <c r="D66" s="15">
        <v>0.5</v>
      </c>
      <c r="E66" s="15">
        <v>75.0</v>
      </c>
      <c r="F66" s="15">
        <v>2.0</v>
      </c>
      <c r="G66" s="15">
        <v>2021.0</v>
      </c>
    </row>
    <row r="67" ht="15.75" customHeight="1">
      <c r="A67" s="15" t="s">
        <v>414</v>
      </c>
      <c r="B67" s="15">
        <v>2.0</v>
      </c>
      <c r="C67" s="15">
        <v>2.0</v>
      </c>
      <c r="D67" s="15">
        <v>0.166666666666667</v>
      </c>
      <c r="E67" s="15">
        <v>4.0</v>
      </c>
      <c r="F67" s="15">
        <v>2.0</v>
      </c>
      <c r="G67" s="15">
        <v>2013.0</v>
      </c>
    </row>
    <row r="68" ht="15.75" customHeight="1">
      <c r="A68" s="15" t="s">
        <v>415</v>
      </c>
      <c r="B68" s="15">
        <v>2.0</v>
      </c>
      <c r="C68" s="15">
        <v>2.0</v>
      </c>
      <c r="D68" s="15">
        <v>0.4</v>
      </c>
      <c r="E68" s="15">
        <v>19.0</v>
      </c>
      <c r="F68" s="15">
        <v>2.0</v>
      </c>
      <c r="G68" s="15">
        <v>2020.0</v>
      </c>
    </row>
    <row r="69" ht="15.75" customHeight="1">
      <c r="A69" s="15" t="s">
        <v>416</v>
      </c>
      <c r="B69" s="15">
        <v>2.0</v>
      </c>
      <c r="C69" s="15">
        <v>2.0</v>
      </c>
      <c r="D69" s="15">
        <v>0.4</v>
      </c>
      <c r="E69" s="15">
        <v>19.0</v>
      </c>
      <c r="F69" s="15">
        <v>2.0</v>
      </c>
      <c r="G69" s="15">
        <v>2020.0</v>
      </c>
    </row>
    <row r="70" ht="15.75" customHeight="1">
      <c r="A70" s="15" t="s">
        <v>417</v>
      </c>
      <c r="B70" s="15">
        <v>2.0</v>
      </c>
      <c r="C70" s="15">
        <v>2.0</v>
      </c>
      <c r="D70" s="15">
        <v>0.4</v>
      </c>
      <c r="E70" s="15">
        <v>19.0</v>
      </c>
      <c r="F70" s="15">
        <v>2.0</v>
      </c>
      <c r="G70" s="15">
        <v>2020.0</v>
      </c>
    </row>
    <row r="71" ht="15.75" customHeight="1">
      <c r="A71" s="15" t="s">
        <v>418</v>
      </c>
      <c r="B71" s="15">
        <v>2.0</v>
      </c>
      <c r="C71" s="15">
        <v>2.0</v>
      </c>
      <c r="D71" s="15">
        <v>0.333333333333333</v>
      </c>
      <c r="E71" s="15">
        <v>5.0</v>
      </c>
      <c r="F71" s="15">
        <v>2.0</v>
      </c>
      <c r="G71" s="15">
        <v>2019.0</v>
      </c>
    </row>
    <row r="72" ht="15.75" customHeight="1">
      <c r="A72" s="15" t="s">
        <v>419</v>
      </c>
      <c r="B72" s="15">
        <v>2.0</v>
      </c>
      <c r="C72" s="15">
        <v>2.0</v>
      </c>
      <c r="D72" s="15">
        <v>0.25</v>
      </c>
      <c r="E72" s="15">
        <v>26.0</v>
      </c>
      <c r="F72" s="15">
        <v>2.0</v>
      </c>
      <c r="G72" s="15">
        <v>2017.0</v>
      </c>
    </row>
    <row r="73" ht="15.75" customHeight="1">
      <c r="A73" s="15" t="s">
        <v>420</v>
      </c>
      <c r="B73" s="15">
        <v>2.0</v>
      </c>
      <c r="C73" s="15">
        <v>2.0</v>
      </c>
      <c r="D73" s="15">
        <v>0.666666666666667</v>
      </c>
      <c r="E73" s="15">
        <v>8.0</v>
      </c>
      <c r="F73" s="15">
        <v>2.0</v>
      </c>
      <c r="G73" s="15">
        <v>2022.0</v>
      </c>
    </row>
    <row r="74" ht="15.75" customHeight="1">
      <c r="A74" s="15" t="s">
        <v>421</v>
      </c>
      <c r="B74" s="15">
        <v>2.0</v>
      </c>
      <c r="C74" s="15">
        <v>2.0</v>
      </c>
      <c r="D74" s="15">
        <v>0.285714285714286</v>
      </c>
      <c r="E74" s="15">
        <v>8.0</v>
      </c>
      <c r="F74" s="15">
        <v>2.0</v>
      </c>
      <c r="G74" s="15">
        <v>2018.0</v>
      </c>
    </row>
    <row r="75" ht="15.75" customHeight="1">
      <c r="A75" s="15" t="s">
        <v>422</v>
      </c>
      <c r="B75" s="15">
        <v>2.0</v>
      </c>
      <c r="C75" s="15">
        <v>2.0</v>
      </c>
      <c r="D75" s="15">
        <v>0.333333333333333</v>
      </c>
      <c r="E75" s="15">
        <v>25.0</v>
      </c>
      <c r="F75" s="15">
        <v>2.0</v>
      </c>
      <c r="G75" s="15">
        <v>2019.0</v>
      </c>
    </row>
    <row r="76" ht="15.75" customHeight="1">
      <c r="A76" s="15" t="s">
        <v>423</v>
      </c>
      <c r="B76" s="15">
        <v>2.0</v>
      </c>
      <c r="C76" s="15">
        <v>2.0</v>
      </c>
      <c r="D76" s="15">
        <v>0.4</v>
      </c>
      <c r="E76" s="15">
        <v>19.0</v>
      </c>
      <c r="F76" s="15">
        <v>2.0</v>
      </c>
      <c r="G76" s="15">
        <v>2020.0</v>
      </c>
    </row>
    <row r="77" ht="15.75" customHeight="1">
      <c r="A77" s="15" t="s">
        <v>424</v>
      </c>
      <c r="B77" s="15">
        <v>2.0</v>
      </c>
      <c r="C77" s="15">
        <v>2.0</v>
      </c>
      <c r="D77" s="15">
        <v>0.333333333333333</v>
      </c>
      <c r="E77" s="15">
        <v>12.0</v>
      </c>
      <c r="F77" s="15">
        <v>2.0</v>
      </c>
      <c r="G77" s="15">
        <v>2019.0</v>
      </c>
    </row>
    <row r="78" ht="15.75" customHeight="1">
      <c r="A78" s="15" t="s">
        <v>425</v>
      </c>
      <c r="B78" s="15">
        <v>1.0</v>
      </c>
      <c r="C78" s="15">
        <v>2.0</v>
      </c>
      <c r="D78" s="15">
        <v>0.5</v>
      </c>
      <c r="E78" s="15">
        <v>13.0</v>
      </c>
      <c r="F78" s="15">
        <v>2.0</v>
      </c>
      <c r="G78" s="15">
        <v>2023.0</v>
      </c>
    </row>
    <row r="79" ht="15.75" customHeight="1">
      <c r="A79" s="15" t="s">
        <v>426</v>
      </c>
      <c r="B79" s="15">
        <v>1.0</v>
      </c>
      <c r="C79" s="15">
        <v>1.0</v>
      </c>
      <c r="D79" s="15">
        <v>1.0</v>
      </c>
      <c r="E79" s="15">
        <v>3.0</v>
      </c>
      <c r="F79" s="15">
        <v>2.0</v>
      </c>
      <c r="G79" s="15">
        <v>2024.0</v>
      </c>
    </row>
    <row r="80" ht="15.75" customHeight="1">
      <c r="A80" s="15" t="s">
        <v>427</v>
      </c>
      <c r="B80" s="15">
        <v>1.0</v>
      </c>
      <c r="C80" s="15">
        <v>2.0</v>
      </c>
      <c r="D80" s="15">
        <v>0.25</v>
      </c>
      <c r="E80" s="15">
        <v>4.0</v>
      </c>
      <c r="F80" s="15">
        <v>2.0</v>
      </c>
      <c r="G80" s="15">
        <v>2021.0</v>
      </c>
    </row>
    <row r="81" ht="15.75" customHeight="1">
      <c r="A81" s="15" t="s">
        <v>428</v>
      </c>
      <c r="B81" s="15">
        <v>1.0</v>
      </c>
      <c r="C81" s="15">
        <v>1.0</v>
      </c>
      <c r="D81" s="15">
        <v>0.5</v>
      </c>
      <c r="E81" s="15">
        <v>1.0</v>
      </c>
      <c r="F81" s="15">
        <v>2.0</v>
      </c>
      <c r="G81" s="15">
        <v>2023.0</v>
      </c>
    </row>
    <row r="82" ht="15.75" customHeight="1">
      <c r="A82" s="15" t="s">
        <v>429</v>
      </c>
      <c r="B82" s="15">
        <v>1.0</v>
      </c>
      <c r="C82" s="15">
        <v>2.0</v>
      </c>
      <c r="D82" s="15">
        <v>0.25</v>
      </c>
      <c r="E82" s="15">
        <v>36.0</v>
      </c>
      <c r="F82" s="15">
        <v>2.0</v>
      </c>
      <c r="G82" s="15">
        <v>2021.0</v>
      </c>
    </row>
    <row r="83" ht="15.75" customHeight="1">
      <c r="A83" s="15" t="s">
        <v>430</v>
      </c>
      <c r="B83" s="15">
        <v>1.0</v>
      </c>
      <c r="C83" s="15">
        <v>2.0</v>
      </c>
      <c r="D83" s="15">
        <v>0.5</v>
      </c>
      <c r="E83" s="15">
        <v>13.0</v>
      </c>
      <c r="F83" s="15">
        <v>2.0</v>
      </c>
      <c r="G83" s="15">
        <v>2023.0</v>
      </c>
    </row>
    <row r="84" ht="15.75" customHeight="1">
      <c r="A84" s="15" t="s">
        <v>431</v>
      </c>
      <c r="B84" s="15">
        <v>1.0</v>
      </c>
      <c r="C84" s="15">
        <v>1.0</v>
      </c>
      <c r="D84" s="15">
        <v>0.333333333333333</v>
      </c>
      <c r="E84" s="15">
        <v>2.0</v>
      </c>
      <c r="F84" s="15">
        <v>2.0</v>
      </c>
      <c r="G84" s="15">
        <v>2022.0</v>
      </c>
    </row>
    <row r="85" ht="15.75" customHeight="1">
      <c r="A85" s="15" t="s">
        <v>432</v>
      </c>
      <c r="B85" s="15">
        <v>1.0</v>
      </c>
      <c r="C85" s="15">
        <v>2.0</v>
      </c>
      <c r="D85" s="15">
        <v>0.25</v>
      </c>
      <c r="E85" s="15">
        <v>45.0</v>
      </c>
      <c r="F85" s="15">
        <v>2.0</v>
      </c>
      <c r="G85" s="15">
        <v>2021.0</v>
      </c>
    </row>
    <row r="86" ht="15.75" customHeight="1">
      <c r="A86" s="15" t="s">
        <v>433</v>
      </c>
      <c r="B86" s="15">
        <v>1.0</v>
      </c>
      <c r="C86" s="15">
        <v>2.0</v>
      </c>
      <c r="D86" s="15">
        <v>0.166666666666667</v>
      </c>
      <c r="E86" s="15">
        <v>8.0</v>
      </c>
      <c r="F86" s="15">
        <v>2.0</v>
      </c>
      <c r="G86" s="15">
        <v>2019.0</v>
      </c>
    </row>
    <row r="87" ht="15.75" customHeight="1">
      <c r="A87" s="15" t="s">
        <v>434</v>
      </c>
      <c r="B87" s="15">
        <v>1.0</v>
      </c>
      <c r="C87" s="15">
        <v>2.0</v>
      </c>
      <c r="D87" s="15">
        <v>0.25</v>
      </c>
      <c r="E87" s="15">
        <v>4.0</v>
      </c>
      <c r="F87" s="15">
        <v>2.0</v>
      </c>
      <c r="G87" s="15">
        <v>2021.0</v>
      </c>
    </row>
    <row r="88" ht="15.75" customHeight="1">
      <c r="A88" s="15" t="s">
        <v>435</v>
      </c>
      <c r="B88" s="15">
        <v>1.0</v>
      </c>
      <c r="C88" s="15">
        <v>1.0</v>
      </c>
      <c r="D88" s="15">
        <v>0.0833333333333333</v>
      </c>
      <c r="E88" s="15">
        <v>1.0</v>
      </c>
      <c r="F88" s="15">
        <v>2.0</v>
      </c>
      <c r="G88" s="15">
        <v>2013.0</v>
      </c>
    </row>
    <row r="89" ht="15.75" customHeight="1">
      <c r="A89" s="15" t="s">
        <v>436</v>
      </c>
      <c r="B89" s="15">
        <v>1.0</v>
      </c>
      <c r="C89" s="15">
        <v>1.0</v>
      </c>
      <c r="D89" s="15">
        <v>0.2</v>
      </c>
      <c r="E89" s="15">
        <v>1.0</v>
      </c>
      <c r="F89" s="15">
        <v>2.0</v>
      </c>
      <c r="G89" s="15">
        <v>2020.0</v>
      </c>
    </row>
    <row r="90" ht="15.75" customHeight="1">
      <c r="A90" s="15" t="s">
        <v>437</v>
      </c>
      <c r="B90" s="15">
        <v>1.0</v>
      </c>
      <c r="C90" s="15">
        <v>2.0</v>
      </c>
      <c r="D90" s="15">
        <v>0.142857142857143</v>
      </c>
      <c r="E90" s="15">
        <v>6.0</v>
      </c>
      <c r="F90" s="15">
        <v>2.0</v>
      </c>
      <c r="G90" s="15">
        <v>2018.0</v>
      </c>
    </row>
    <row r="91" ht="15.75" customHeight="1">
      <c r="A91" s="15" t="s">
        <v>438</v>
      </c>
      <c r="B91" s="15">
        <v>1.0</v>
      </c>
      <c r="C91" s="15">
        <v>2.0</v>
      </c>
      <c r="D91" s="15">
        <v>0.5</v>
      </c>
      <c r="E91" s="15">
        <v>6.0</v>
      </c>
      <c r="F91" s="15">
        <v>2.0</v>
      </c>
      <c r="G91" s="15">
        <v>2023.0</v>
      </c>
    </row>
    <row r="92" ht="15.75" customHeight="1">
      <c r="A92" s="15" t="s">
        <v>439</v>
      </c>
      <c r="B92" s="15">
        <v>1.0</v>
      </c>
      <c r="C92" s="15">
        <v>1.0</v>
      </c>
      <c r="D92" s="15">
        <v>0.5</v>
      </c>
      <c r="E92" s="15">
        <v>3.0</v>
      </c>
      <c r="F92" s="15">
        <v>2.0</v>
      </c>
      <c r="G92" s="15">
        <v>2023.0</v>
      </c>
    </row>
    <row r="93" ht="15.75" customHeight="1">
      <c r="A93" s="15" t="s">
        <v>440</v>
      </c>
      <c r="B93" s="15">
        <v>1.0</v>
      </c>
      <c r="C93" s="15">
        <v>2.0</v>
      </c>
      <c r="D93" s="15">
        <v>0.5</v>
      </c>
      <c r="E93" s="15">
        <v>13.0</v>
      </c>
      <c r="F93" s="15">
        <v>2.0</v>
      </c>
      <c r="G93" s="15">
        <v>2023.0</v>
      </c>
    </row>
    <row r="94" ht="15.75" customHeight="1">
      <c r="A94" s="15" t="s">
        <v>441</v>
      </c>
      <c r="B94" s="15">
        <v>1.0</v>
      </c>
      <c r="C94" s="15">
        <v>2.0</v>
      </c>
      <c r="D94" s="15">
        <v>0.111111111111111</v>
      </c>
      <c r="E94" s="15">
        <v>7.0</v>
      </c>
      <c r="F94" s="15">
        <v>2.0</v>
      </c>
      <c r="G94" s="15">
        <v>2016.0</v>
      </c>
    </row>
    <row r="95" ht="15.75" customHeight="1">
      <c r="A95" s="15" t="s">
        <v>442</v>
      </c>
      <c r="B95" s="15">
        <v>1.0</v>
      </c>
      <c r="C95" s="15">
        <v>1.0</v>
      </c>
      <c r="D95" s="15">
        <v>0.5</v>
      </c>
      <c r="E95" s="15">
        <v>1.0</v>
      </c>
      <c r="F95" s="15">
        <v>2.0</v>
      </c>
      <c r="G95" s="15">
        <v>2023.0</v>
      </c>
    </row>
    <row r="96" ht="15.75" customHeight="1">
      <c r="A96" s="15" t="s">
        <v>443</v>
      </c>
      <c r="B96" s="15">
        <v>1.0</v>
      </c>
      <c r="C96" s="15">
        <v>2.0</v>
      </c>
      <c r="D96" s="15">
        <v>1.0</v>
      </c>
      <c r="E96" s="15">
        <v>4.0</v>
      </c>
      <c r="F96" s="15">
        <v>2.0</v>
      </c>
      <c r="G96" s="15">
        <v>2024.0</v>
      </c>
    </row>
    <row r="97" ht="15.75" customHeight="1">
      <c r="A97" s="15" t="s">
        <v>444</v>
      </c>
      <c r="B97" s="15">
        <v>1.0</v>
      </c>
      <c r="C97" s="15">
        <v>1.0</v>
      </c>
      <c r="D97" s="15">
        <v>0.333333333333333</v>
      </c>
      <c r="E97" s="15">
        <v>2.0</v>
      </c>
      <c r="F97" s="15">
        <v>2.0</v>
      </c>
      <c r="G97" s="15">
        <v>2022.0</v>
      </c>
    </row>
    <row r="98" ht="15.75" customHeight="1">
      <c r="A98" s="15" t="s">
        <v>445</v>
      </c>
      <c r="B98" s="15">
        <v>1.0</v>
      </c>
      <c r="C98" s="15">
        <v>1.0</v>
      </c>
      <c r="D98" s="15">
        <v>0.333333333333333</v>
      </c>
      <c r="E98" s="15">
        <v>2.0</v>
      </c>
      <c r="F98" s="15">
        <v>2.0</v>
      </c>
      <c r="G98" s="15">
        <v>2022.0</v>
      </c>
    </row>
    <row r="99" ht="15.75" customHeight="1">
      <c r="A99" s="15" t="s">
        <v>446</v>
      </c>
      <c r="B99" s="15">
        <v>1.0</v>
      </c>
      <c r="C99" s="15">
        <v>1.0</v>
      </c>
      <c r="D99" s="15">
        <v>0.166666666666667</v>
      </c>
      <c r="E99" s="15">
        <v>3.0</v>
      </c>
      <c r="F99" s="15">
        <v>2.0</v>
      </c>
      <c r="G99" s="15">
        <v>2019.0</v>
      </c>
    </row>
    <row r="100" ht="15.75" customHeight="1">
      <c r="A100" s="15" t="s">
        <v>447</v>
      </c>
      <c r="B100" s="15">
        <v>1.0</v>
      </c>
      <c r="C100" s="15">
        <v>2.0</v>
      </c>
      <c r="D100" s="15">
        <v>1.0</v>
      </c>
      <c r="E100" s="15">
        <v>5.0</v>
      </c>
      <c r="F100" s="15">
        <v>2.0</v>
      </c>
      <c r="G100" s="15">
        <v>2024.0</v>
      </c>
    </row>
    <row r="101" ht="15.75" customHeight="1">
      <c r="A101" s="15" t="s">
        <v>448</v>
      </c>
      <c r="B101" s="15">
        <v>1.0</v>
      </c>
      <c r="C101" s="15">
        <v>2.0</v>
      </c>
      <c r="D101" s="15">
        <v>1.0</v>
      </c>
      <c r="E101" s="15">
        <v>4.0</v>
      </c>
      <c r="F101" s="15">
        <v>2.0</v>
      </c>
      <c r="G101" s="15">
        <v>2024.0</v>
      </c>
    </row>
    <row r="102" ht="15.75" customHeight="1">
      <c r="A102" s="15" t="s">
        <v>449</v>
      </c>
      <c r="B102" s="15">
        <v>1.0</v>
      </c>
      <c r="C102" s="15">
        <v>2.0</v>
      </c>
      <c r="D102" s="15">
        <v>0.111111111111111</v>
      </c>
      <c r="E102" s="15">
        <v>28.0</v>
      </c>
      <c r="F102" s="15">
        <v>2.0</v>
      </c>
      <c r="G102" s="15">
        <v>2016.0</v>
      </c>
    </row>
    <row r="103" ht="15.75" customHeight="1">
      <c r="A103" s="15" t="s">
        <v>450</v>
      </c>
      <c r="B103" s="15">
        <v>1.0</v>
      </c>
      <c r="C103" s="15">
        <v>1.0</v>
      </c>
      <c r="D103" s="15">
        <v>0.333333333333333</v>
      </c>
      <c r="E103" s="15">
        <v>2.0</v>
      </c>
      <c r="F103" s="15">
        <v>2.0</v>
      </c>
      <c r="G103" s="15">
        <v>2022.0</v>
      </c>
    </row>
    <row r="104" ht="15.75" customHeight="1">
      <c r="A104" s="15" t="s">
        <v>451</v>
      </c>
      <c r="B104" s="15">
        <v>1.0</v>
      </c>
      <c r="C104" s="15">
        <v>2.0</v>
      </c>
      <c r="D104" s="15">
        <v>0.125</v>
      </c>
      <c r="E104" s="15">
        <v>7.0</v>
      </c>
      <c r="F104" s="15">
        <v>2.0</v>
      </c>
      <c r="G104" s="15">
        <v>2017.0</v>
      </c>
    </row>
    <row r="105" ht="15.75" customHeight="1">
      <c r="A105" s="15" t="s">
        <v>452</v>
      </c>
      <c r="B105" s="15">
        <v>1.0</v>
      </c>
      <c r="C105" s="15">
        <v>1.0</v>
      </c>
      <c r="D105" s="15">
        <v>0.333333333333333</v>
      </c>
      <c r="E105" s="15">
        <v>1.0</v>
      </c>
      <c r="F105" s="15">
        <v>1.0</v>
      </c>
      <c r="G105" s="15">
        <v>2022.0</v>
      </c>
    </row>
    <row r="106" ht="15.75" customHeight="1">
      <c r="A106" s="15" t="s">
        <v>453</v>
      </c>
      <c r="B106" s="15">
        <v>1.0</v>
      </c>
      <c r="C106" s="15">
        <v>1.0</v>
      </c>
      <c r="D106" s="15">
        <v>0.25</v>
      </c>
      <c r="E106" s="15">
        <v>1.0</v>
      </c>
      <c r="F106" s="15">
        <v>1.0</v>
      </c>
      <c r="G106" s="15">
        <v>2021.0</v>
      </c>
    </row>
    <row r="107" ht="15.75" customHeight="1">
      <c r="A107" s="15" t="s">
        <v>454</v>
      </c>
      <c r="B107" s="15">
        <v>1.0</v>
      </c>
      <c r="C107" s="15">
        <v>1.0</v>
      </c>
      <c r="D107" s="15">
        <v>0.25</v>
      </c>
      <c r="E107" s="15">
        <v>15.0</v>
      </c>
      <c r="F107" s="15">
        <v>1.0</v>
      </c>
      <c r="G107" s="15">
        <v>2021.0</v>
      </c>
    </row>
    <row r="108" ht="15.75" customHeight="1">
      <c r="A108" s="15" t="s">
        <v>455</v>
      </c>
      <c r="B108" s="15">
        <v>1.0</v>
      </c>
      <c r="C108" s="15">
        <v>1.0</v>
      </c>
      <c r="D108" s="15">
        <v>0.2</v>
      </c>
      <c r="E108" s="15">
        <v>6.0</v>
      </c>
      <c r="F108" s="15">
        <v>1.0</v>
      </c>
      <c r="G108" s="15">
        <v>2020.0</v>
      </c>
    </row>
    <row r="109" ht="15.75" customHeight="1">
      <c r="A109" s="15" t="s">
        <v>456</v>
      </c>
      <c r="B109" s="15">
        <v>1.0</v>
      </c>
      <c r="C109" s="15">
        <v>1.0</v>
      </c>
      <c r="D109" s="15">
        <v>0.5</v>
      </c>
      <c r="E109" s="15">
        <v>2.0</v>
      </c>
      <c r="F109" s="15">
        <v>1.0</v>
      </c>
      <c r="G109" s="15">
        <v>2023.0</v>
      </c>
    </row>
    <row r="110" ht="15.75" customHeight="1">
      <c r="A110" s="15" t="s">
        <v>457</v>
      </c>
      <c r="B110" s="15">
        <v>1.0</v>
      </c>
      <c r="C110" s="15">
        <v>1.0</v>
      </c>
      <c r="D110" s="15">
        <v>1.0</v>
      </c>
      <c r="E110" s="15">
        <v>1.0</v>
      </c>
      <c r="F110" s="15">
        <v>1.0</v>
      </c>
      <c r="G110" s="15">
        <v>2024.0</v>
      </c>
    </row>
    <row r="111" ht="15.75" customHeight="1">
      <c r="A111" s="15" t="s">
        <v>458</v>
      </c>
      <c r="B111" s="15">
        <v>1.0</v>
      </c>
      <c r="C111" s="15">
        <v>1.0</v>
      </c>
      <c r="D111" s="15">
        <v>0.333333333333333</v>
      </c>
      <c r="E111" s="15">
        <v>6.0</v>
      </c>
      <c r="F111" s="15">
        <v>1.0</v>
      </c>
      <c r="G111" s="15">
        <v>2022.0</v>
      </c>
    </row>
    <row r="112" ht="15.75" customHeight="1">
      <c r="A112" s="15" t="s">
        <v>459</v>
      </c>
      <c r="B112" s="15">
        <v>1.0</v>
      </c>
      <c r="C112" s="15">
        <v>1.0</v>
      </c>
      <c r="D112" s="15">
        <v>0.2</v>
      </c>
      <c r="E112" s="15">
        <v>11.0</v>
      </c>
      <c r="F112" s="15">
        <v>1.0</v>
      </c>
      <c r="G112" s="15">
        <v>2020.0</v>
      </c>
    </row>
    <row r="113" ht="15.75" customHeight="1">
      <c r="A113" s="15" t="s">
        <v>460</v>
      </c>
      <c r="B113" s="15">
        <v>1.0</v>
      </c>
      <c r="C113" s="15">
        <v>1.0</v>
      </c>
      <c r="D113" s="15">
        <v>0.25</v>
      </c>
      <c r="E113" s="15">
        <v>5.0</v>
      </c>
      <c r="F113" s="15">
        <v>1.0</v>
      </c>
      <c r="G113" s="15">
        <v>2021.0</v>
      </c>
    </row>
    <row r="114" ht="15.75" customHeight="1">
      <c r="A114" s="15" t="s">
        <v>461</v>
      </c>
      <c r="B114" s="15">
        <v>1.0</v>
      </c>
      <c r="C114" s="15">
        <v>1.0</v>
      </c>
      <c r="D114" s="15">
        <v>0.1</v>
      </c>
      <c r="E114" s="15">
        <v>14.0</v>
      </c>
      <c r="F114" s="15">
        <v>1.0</v>
      </c>
      <c r="G114" s="15">
        <v>2015.0</v>
      </c>
    </row>
    <row r="115" ht="15.75" customHeight="1">
      <c r="A115" s="15" t="s">
        <v>462</v>
      </c>
      <c r="B115" s="15">
        <v>1.0</v>
      </c>
      <c r="C115" s="15">
        <v>1.0</v>
      </c>
      <c r="D115" s="15">
        <v>0.25</v>
      </c>
      <c r="E115" s="15">
        <v>11.0</v>
      </c>
      <c r="F115" s="15">
        <v>1.0</v>
      </c>
      <c r="G115" s="15">
        <v>2021.0</v>
      </c>
    </row>
    <row r="116" ht="15.75" customHeight="1">
      <c r="A116" s="15" t="s">
        <v>463</v>
      </c>
      <c r="B116" s="15">
        <v>1.0</v>
      </c>
      <c r="C116" s="15">
        <v>1.0</v>
      </c>
      <c r="D116" s="15">
        <v>0.25</v>
      </c>
      <c r="E116" s="15">
        <v>5.0</v>
      </c>
      <c r="F116" s="15">
        <v>1.0</v>
      </c>
      <c r="G116" s="15">
        <v>2021.0</v>
      </c>
    </row>
    <row r="117" ht="15.75" customHeight="1">
      <c r="A117" s="15" t="s">
        <v>464</v>
      </c>
      <c r="B117" s="15">
        <v>1.0</v>
      </c>
      <c r="C117" s="15">
        <v>1.0</v>
      </c>
      <c r="D117" s="15">
        <v>0.25</v>
      </c>
      <c r="E117" s="15">
        <v>1.0</v>
      </c>
      <c r="F117" s="15">
        <v>1.0</v>
      </c>
      <c r="G117" s="15">
        <v>2021.0</v>
      </c>
    </row>
    <row r="118" ht="15.75" customHeight="1">
      <c r="A118" s="15" t="s">
        <v>465</v>
      </c>
      <c r="B118" s="15">
        <v>1.0</v>
      </c>
      <c r="C118" s="15">
        <v>1.0</v>
      </c>
      <c r="D118" s="15">
        <v>0.25</v>
      </c>
      <c r="E118" s="15">
        <v>19.0</v>
      </c>
      <c r="F118" s="15">
        <v>1.0</v>
      </c>
      <c r="G118" s="15">
        <v>2021.0</v>
      </c>
    </row>
    <row r="119" ht="15.75" customHeight="1">
      <c r="A119" s="15" t="s">
        <v>466</v>
      </c>
      <c r="B119" s="15">
        <v>1.0</v>
      </c>
      <c r="C119" s="15">
        <v>1.0</v>
      </c>
      <c r="D119" s="15">
        <v>0.25</v>
      </c>
      <c r="E119" s="15">
        <v>4.0</v>
      </c>
      <c r="F119" s="15">
        <v>1.0</v>
      </c>
      <c r="G119" s="15">
        <v>2021.0</v>
      </c>
    </row>
    <row r="120" ht="15.75" customHeight="1">
      <c r="A120" s="15" t="s">
        <v>467</v>
      </c>
      <c r="B120" s="15">
        <v>1.0</v>
      </c>
      <c r="C120" s="15">
        <v>1.0</v>
      </c>
      <c r="D120" s="15">
        <v>0.5</v>
      </c>
      <c r="E120" s="15">
        <v>7.0</v>
      </c>
      <c r="F120" s="15">
        <v>1.0</v>
      </c>
      <c r="G120" s="15">
        <v>2023.0</v>
      </c>
    </row>
    <row r="121" ht="15.75" customHeight="1">
      <c r="A121" s="15" t="s">
        <v>468</v>
      </c>
      <c r="B121" s="15">
        <v>1.0</v>
      </c>
      <c r="C121" s="15">
        <v>1.0</v>
      </c>
      <c r="D121" s="15">
        <v>0.333333333333333</v>
      </c>
      <c r="E121" s="15">
        <v>2.0</v>
      </c>
      <c r="F121" s="15">
        <v>1.0</v>
      </c>
      <c r="G121" s="15">
        <v>2022.0</v>
      </c>
    </row>
    <row r="122" ht="15.75" customHeight="1">
      <c r="A122" s="15" t="s">
        <v>469</v>
      </c>
      <c r="B122" s="15">
        <v>1.0</v>
      </c>
      <c r="C122" s="15">
        <v>1.0</v>
      </c>
      <c r="D122" s="15">
        <v>0.0625</v>
      </c>
      <c r="E122" s="15">
        <v>7.0</v>
      </c>
      <c r="F122" s="15">
        <v>1.0</v>
      </c>
      <c r="G122" s="15">
        <v>2009.0</v>
      </c>
    </row>
    <row r="123" ht="15.75" customHeight="1">
      <c r="A123" s="15" t="s">
        <v>470</v>
      </c>
      <c r="B123" s="15">
        <v>1.0</v>
      </c>
      <c r="C123" s="15">
        <v>1.0</v>
      </c>
      <c r="D123" s="15">
        <v>0.5</v>
      </c>
      <c r="E123" s="15">
        <v>2.0</v>
      </c>
      <c r="F123" s="15">
        <v>1.0</v>
      </c>
      <c r="G123" s="15">
        <v>2023.0</v>
      </c>
    </row>
    <row r="124" ht="15.75" customHeight="1">
      <c r="A124" s="15" t="s">
        <v>471</v>
      </c>
      <c r="B124" s="15">
        <v>1.0</v>
      </c>
      <c r="C124" s="15">
        <v>1.0</v>
      </c>
      <c r="D124" s="15">
        <v>0.5</v>
      </c>
      <c r="E124" s="15">
        <v>1.0</v>
      </c>
      <c r="F124" s="15">
        <v>1.0</v>
      </c>
      <c r="G124" s="15">
        <v>2023.0</v>
      </c>
    </row>
    <row r="125" ht="15.75" customHeight="1">
      <c r="A125" s="15" t="s">
        <v>472</v>
      </c>
      <c r="B125" s="15">
        <v>1.0</v>
      </c>
      <c r="C125" s="15">
        <v>1.0</v>
      </c>
      <c r="D125" s="15">
        <v>0.2</v>
      </c>
      <c r="E125" s="15">
        <v>2.0</v>
      </c>
      <c r="F125" s="15">
        <v>1.0</v>
      </c>
      <c r="G125" s="15">
        <v>2020.0</v>
      </c>
    </row>
    <row r="126" ht="15.75" customHeight="1">
      <c r="A126" s="15" t="s">
        <v>473</v>
      </c>
      <c r="B126" s="15">
        <v>1.0</v>
      </c>
      <c r="C126" s="15">
        <v>1.0</v>
      </c>
      <c r="D126" s="15">
        <v>0.25</v>
      </c>
      <c r="E126" s="15">
        <v>6.0</v>
      </c>
      <c r="F126" s="15">
        <v>1.0</v>
      </c>
      <c r="G126" s="15">
        <v>2021.0</v>
      </c>
    </row>
    <row r="127" ht="15.75" customHeight="1">
      <c r="A127" s="15" t="s">
        <v>474</v>
      </c>
      <c r="B127" s="15">
        <v>1.0</v>
      </c>
      <c r="C127" s="15">
        <v>1.0</v>
      </c>
      <c r="D127" s="15">
        <v>0.5</v>
      </c>
      <c r="E127" s="15">
        <v>13.0</v>
      </c>
      <c r="F127" s="15">
        <v>1.0</v>
      </c>
      <c r="G127" s="15">
        <v>2023.0</v>
      </c>
    </row>
    <row r="128" ht="15.75" customHeight="1">
      <c r="A128" s="15" t="s">
        <v>475</v>
      </c>
      <c r="B128" s="15">
        <v>1.0</v>
      </c>
      <c r="C128" s="15">
        <v>1.0</v>
      </c>
      <c r="D128" s="15">
        <v>0.333333333333333</v>
      </c>
      <c r="E128" s="15">
        <v>1.0</v>
      </c>
      <c r="F128" s="15">
        <v>1.0</v>
      </c>
      <c r="G128" s="15">
        <v>2022.0</v>
      </c>
    </row>
    <row r="129" ht="15.75" customHeight="1">
      <c r="A129" s="15" t="s">
        <v>476</v>
      </c>
      <c r="B129" s="15">
        <v>1.0</v>
      </c>
      <c r="C129" s="15">
        <v>1.0</v>
      </c>
      <c r="D129" s="15">
        <v>0.333333333333333</v>
      </c>
      <c r="E129" s="15">
        <v>6.0</v>
      </c>
      <c r="F129" s="15">
        <v>1.0</v>
      </c>
      <c r="G129" s="15">
        <v>2022.0</v>
      </c>
    </row>
    <row r="130" ht="15.75" customHeight="1">
      <c r="A130" s="15" t="s">
        <v>477</v>
      </c>
      <c r="B130" s="15">
        <v>1.0</v>
      </c>
      <c r="C130" s="15">
        <v>1.0</v>
      </c>
      <c r="D130" s="15">
        <v>0.25</v>
      </c>
      <c r="E130" s="15">
        <v>33.0</v>
      </c>
      <c r="F130" s="15">
        <v>1.0</v>
      </c>
      <c r="G130" s="15">
        <v>2021.0</v>
      </c>
    </row>
    <row r="131" ht="15.75" customHeight="1">
      <c r="A131" s="15" t="s">
        <v>478</v>
      </c>
      <c r="B131" s="15">
        <v>1.0</v>
      </c>
      <c r="C131" s="15">
        <v>1.0</v>
      </c>
      <c r="D131" s="15">
        <v>0.25</v>
      </c>
      <c r="E131" s="15">
        <v>3.0</v>
      </c>
      <c r="F131" s="15">
        <v>1.0</v>
      </c>
      <c r="G131" s="15">
        <v>2021.0</v>
      </c>
    </row>
    <row r="132" ht="15.75" customHeight="1">
      <c r="A132" s="15" t="s">
        <v>479</v>
      </c>
      <c r="B132" s="15">
        <v>1.0</v>
      </c>
      <c r="C132" s="15">
        <v>1.0</v>
      </c>
      <c r="D132" s="15">
        <v>0.333333333333333</v>
      </c>
      <c r="E132" s="15">
        <v>6.0</v>
      </c>
      <c r="F132" s="15">
        <v>1.0</v>
      </c>
      <c r="G132" s="15">
        <v>2022.0</v>
      </c>
    </row>
    <row r="133" ht="15.75" customHeight="1">
      <c r="A133" s="15" t="s">
        <v>480</v>
      </c>
      <c r="B133" s="15">
        <v>1.0</v>
      </c>
      <c r="C133" s="15">
        <v>1.0</v>
      </c>
      <c r="D133" s="15">
        <v>0.333333333333333</v>
      </c>
      <c r="E133" s="15">
        <v>2.0</v>
      </c>
      <c r="F133" s="15">
        <v>1.0</v>
      </c>
      <c r="G133" s="15">
        <v>2022.0</v>
      </c>
    </row>
    <row r="134" ht="15.75" customHeight="1">
      <c r="A134" s="15" t="s">
        <v>481</v>
      </c>
      <c r="B134" s="15">
        <v>1.0</v>
      </c>
      <c r="C134" s="15">
        <v>1.0</v>
      </c>
      <c r="D134" s="15">
        <v>0.2</v>
      </c>
      <c r="E134" s="15">
        <v>1.0</v>
      </c>
      <c r="F134" s="15">
        <v>1.0</v>
      </c>
      <c r="G134" s="15">
        <v>2020.0</v>
      </c>
    </row>
    <row r="135" ht="15.75" customHeight="1">
      <c r="A135" s="15" t="s">
        <v>482</v>
      </c>
      <c r="B135" s="15">
        <v>1.0</v>
      </c>
      <c r="C135" s="15">
        <v>1.0</v>
      </c>
      <c r="D135" s="15">
        <v>0.333333333333333</v>
      </c>
      <c r="E135" s="15">
        <v>2.0</v>
      </c>
      <c r="F135" s="15">
        <v>1.0</v>
      </c>
      <c r="G135" s="15">
        <v>2022.0</v>
      </c>
    </row>
    <row r="136" ht="15.75" customHeight="1">
      <c r="A136" s="15" t="s">
        <v>483</v>
      </c>
      <c r="B136" s="15">
        <v>1.0</v>
      </c>
      <c r="C136" s="15">
        <v>1.0</v>
      </c>
      <c r="D136" s="15">
        <v>0.5</v>
      </c>
      <c r="E136" s="15">
        <v>1.0</v>
      </c>
      <c r="F136" s="15">
        <v>1.0</v>
      </c>
      <c r="G136" s="15">
        <v>2023.0</v>
      </c>
    </row>
    <row r="137" ht="15.75" customHeight="1">
      <c r="A137" s="15" t="s">
        <v>484</v>
      </c>
      <c r="B137" s="15">
        <v>1.0</v>
      </c>
      <c r="C137" s="15">
        <v>1.0</v>
      </c>
      <c r="D137" s="15">
        <v>0.25</v>
      </c>
      <c r="E137" s="15">
        <v>1.0</v>
      </c>
      <c r="F137" s="15">
        <v>1.0</v>
      </c>
      <c r="G137" s="15">
        <v>2021.0</v>
      </c>
    </row>
    <row r="138" ht="15.75" customHeight="1">
      <c r="A138" s="15" t="s">
        <v>485</v>
      </c>
      <c r="B138" s="15">
        <v>1.0</v>
      </c>
      <c r="C138" s="15">
        <v>1.0</v>
      </c>
      <c r="D138" s="15">
        <v>0.333333333333333</v>
      </c>
      <c r="E138" s="15">
        <v>1.0</v>
      </c>
      <c r="F138" s="15">
        <v>1.0</v>
      </c>
      <c r="G138" s="15">
        <v>2022.0</v>
      </c>
    </row>
    <row r="139" ht="15.75" customHeight="1">
      <c r="A139" s="15" t="s">
        <v>486</v>
      </c>
      <c r="B139" s="15">
        <v>1.0</v>
      </c>
      <c r="C139" s="15">
        <v>1.0</v>
      </c>
      <c r="D139" s="15">
        <v>0.333333333333333</v>
      </c>
      <c r="E139" s="15">
        <v>39.0</v>
      </c>
      <c r="F139" s="15">
        <v>1.0</v>
      </c>
      <c r="G139" s="15">
        <v>2022.0</v>
      </c>
    </row>
    <row r="140" ht="15.75" customHeight="1">
      <c r="A140" s="15" t="s">
        <v>487</v>
      </c>
      <c r="B140" s="15">
        <v>1.0</v>
      </c>
      <c r="C140" s="15">
        <v>1.0</v>
      </c>
      <c r="D140" s="15">
        <v>1.0</v>
      </c>
      <c r="E140" s="15">
        <v>2.0</v>
      </c>
      <c r="F140" s="15">
        <v>1.0</v>
      </c>
      <c r="G140" s="15">
        <v>2024.0</v>
      </c>
    </row>
    <row r="141" ht="15.75" customHeight="1">
      <c r="A141" s="15" t="s">
        <v>488</v>
      </c>
      <c r="B141" s="15">
        <v>1.0</v>
      </c>
      <c r="C141" s="15">
        <v>1.0</v>
      </c>
      <c r="D141" s="15">
        <v>0.333333333333333</v>
      </c>
      <c r="E141" s="15">
        <v>1.0</v>
      </c>
      <c r="F141" s="15">
        <v>1.0</v>
      </c>
      <c r="G141" s="15">
        <v>2022.0</v>
      </c>
    </row>
    <row r="142" ht="15.75" customHeight="1">
      <c r="A142" s="15" t="s">
        <v>489</v>
      </c>
      <c r="B142" s="15">
        <v>1.0</v>
      </c>
      <c r="C142" s="15">
        <v>1.0</v>
      </c>
      <c r="D142" s="15">
        <v>0.333333333333333</v>
      </c>
      <c r="E142" s="15">
        <v>1.0</v>
      </c>
      <c r="F142" s="15">
        <v>1.0</v>
      </c>
      <c r="G142" s="15">
        <v>2022.0</v>
      </c>
    </row>
    <row r="143" ht="15.75" customHeight="1">
      <c r="A143" s="15" t="s">
        <v>490</v>
      </c>
      <c r="B143" s="15">
        <v>1.0</v>
      </c>
      <c r="C143" s="15">
        <v>1.0</v>
      </c>
      <c r="D143" s="15">
        <v>0.333333333333333</v>
      </c>
      <c r="E143" s="15">
        <v>1.0</v>
      </c>
      <c r="F143" s="15">
        <v>1.0</v>
      </c>
      <c r="G143" s="15">
        <v>2022.0</v>
      </c>
    </row>
    <row r="144" ht="15.75" customHeight="1">
      <c r="A144" s="15" t="s">
        <v>491</v>
      </c>
      <c r="B144" s="15">
        <v>1.0</v>
      </c>
      <c r="C144" s="15">
        <v>1.0</v>
      </c>
      <c r="D144" s="15">
        <v>0.142857142857143</v>
      </c>
      <c r="E144" s="15">
        <v>8.0</v>
      </c>
      <c r="F144" s="15">
        <v>1.0</v>
      </c>
      <c r="G144" s="15">
        <v>2018.0</v>
      </c>
    </row>
    <row r="145" ht="15.75" customHeight="1">
      <c r="A145" s="15" t="s">
        <v>492</v>
      </c>
      <c r="B145" s="15">
        <v>1.0</v>
      </c>
      <c r="C145" s="15">
        <v>1.0</v>
      </c>
      <c r="D145" s="15">
        <v>1.0</v>
      </c>
      <c r="E145" s="15">
        <v>1.0</v>
      </c>
      <c r="F145" s="15">
        <v>1.0</v>
      </c>
      <c r="G145" s="15">
        <v>2024.0</v>
      </c>
    </row>
    <row r="146" ht="15.75" customHeight="1">
      <c r="A146" s="15" t="s">
        <v>493</v>
      </c>
      <c r="B146" s="15">
        <v>1.0</v>
      </c>
      <c r="C146" s="15">
        <v>1.0</v>
      </c>
      <c r="D146" s="15">
        <v>0.5</v>
      </c>
      <c r="E146" s="15">
        <v>4.0</v>
      </c>
      <c r="F146" s="15">
        <v>1.0</v>
      </c>
      <c r="G146" s="15">
        <v>2023.0</v>
      </c>
    </row>
    <row r="147" ht="15.75" customHeight="1">
      <c r="A147" s="15" t="s">
        <v>494</v>
      </c>
      <c r="B147" s="15">
        <v>1.0</v>
      </c>
      <c r="C147" s="15">
        <v>1.0</v>
      </c>
      <c r="D147" s="15">
        <v>0.125</v>
      </c>
      <c r="E147" s="15">
        <v>1.0</v>
      </c>
      <c r="F147" s="15">
        <v>1.0</v>
      </c>
      <c r="G147" s="15">
        <v>2017.0</v>
      </c>
    </row>
    <row r="148" ht="15.75" customHeight="1">
      <c r="A148" s="15" t="s">
        <v>495</v>
      </c>
      <c r="B148" s="15">
        <v>1.0</v>
      </c>
      <c r="C148" s="15">
        <v>1.0</v>
      </c>
      <c r="D148" s="15">
        <v>0.5</v>
      </c>
      <c r="E148" s="15">
        <v>2.0</v>
      </c>
      <c r="F148" s="15">
        <v>1.0</v>
      </c>
      <c r="G148" s="15">
        <v>2023.0</v>
      </c>
    </row>
    <row r="149" ht="15.75" customHeight="1">
      <c r="A149" s="15" t="s">
        <v>496</v>
      </c>
      <c r="B149" s="15">
        <v>1.0</v>
      </c>
      <c r="C149" s="15">
        <v>1.0</v>
      </c>
      <c r="D149" s="15">
        <v>0.5</v>
      </c>
      <c r="E149" s="15">
        <v>5.0</v>
      </c>
      <c r="F149" s="15">
        <v>1.0</v>
      </c>
      <c r="G149" s="15">
        <v>2023.0</v>
      </c>
    </row>
    <row r="150" ht="15.75" customHeight="1">
      <c r="A150" s="15" t="s">
        <v>497</v>
      </c>
      <c r="B150" s="15">
        <v>1.0</v>
      </c>
      <c r="C150" s="15">
        <v>1.0</v>
      </c>
      <c r="D150" s="15">
        <v>0.5</v>
      </c>
      <c r="E150" s="15">
        <v>2.0</v>
      </c>
      <c r="F150" s="15">
        <v>1.0</v>
      </c>
      <c r="G150" s="15">
        <v>2023.0</v>
      </c>
    </row>
    <row r="151" ht="15.75" customHeight="1">
      <c r="A151" s="15" t="s">
        <v>498</v>
      </c>
      <c r="B151" s="15">
        <v>1.0</v>
      </c>
      <c r="C151" s="15">
        <v>1.0</v>
      </c>
      <c r="D151" s="15">
        <v>0.166666666666667</v>
      </c>
      <c r="E151" s="15">
        <v>15.0</v>
      </c>
      <c r="F151" s="15">
        <v>1.0</v>
      </c>
      <c r="G151" s="15">
        <v>2019.0</v>
      </c>
    </row>
    <row r="152" ht="15.75" customHeight="1">
      <c r="A152" s="15" t="s">
        <v>499</v>
      </c>
      <c r="B152" s="15">
        <v>1.0</v>
      </c>
      <c r="C152" s="15">
        <v>1.0</v>
      </c>
      <c r="D152" s="15">
        <v>0.5</v>
      </c>
      <c r="E152" s="15">
        <v>3.0</v>
      </c>
      <c r="F152" s="15">
        <v>1.0</v>
      </c>
      <c r="G152" s="15">
        <v>2023.0</v>
      </c>
    </row>
    <row r="153" ht="15.75" customHeight="1">
      <c r="A153" s="15" t="s">
        <v>500</v>
      </c>
      <c r="B153" s="15">
        <v>1.0</v>
      </c>
      <c r="C153" s="15">
        <v>1.0</v>
      </c>
      <c r="D153" s="15">
        <v>0.333333333333333</v>
      </c>
      <c r="E153" s="15">
        <v>39.0</v>
      </c>
      <c r="F153" s="15">
        <v>1.0</v>
      </c>
      <c r="G153" s="15">
        <v>2022.0</v>
      </c>
    </row>
    <row r="154" ht="15.75" customHeight="1">
      <c r="A154" s="15" t="s">
        <v>501</v>
      </c>
      <c r="B154" s="15">
        <v>1.0</v>
      </c>
      <c r="C154" s="15">
        <v>1.0</v>
      </c>
      <c r="D154" s="15">
        <v>0.5</v>
      </c>
      <c r="E154" s="15">
        <v>2.0</v>
      </c>
      <c r="F154" s="15">
        <v>1.0</v>
      </c>
      <c r="G154" s="15">
        <v>2023.0</v>
      </c>
    </row>
    <row r="155" ht="15.75" customHeight="1">
      <c r="A155" s="15" t="s">
        <v>502</v>
      </c>
      <c r="B155" s="15">
        <v>1.0</v>
      </c>
      <c r="C155" s="15">
        <v>1.0</v>
      </c>
      <c r="D155" s="15">
        <v>0.333333333333333</v>
      </c>
      <c r="E155" s="15">
        <v>1.0</v>
      </c>
      <c r="F155" s="15">
        <v>1.0</v>
      </c>
      <c r="G155" s="15">
        <v>2022.0</v>
      </c>
    </row>
    <row r="156" ht="15.75" customHeight="1">
      <c r="A156" s="15" t="s">
        <v>503</v>
      </c>
      <c r="B156" s="15">
        <v>1.0</v>
      </c>
      <c r="C156" s="15">
        <v>1.0</v>
      </c>
      <c r="D156" s="15">
        <v>0.333333333333333</v>
      </c>
      <c r="E156" s="15">
        <v>39.0</v>
      </c>
      <c r="F156" s="15">
        <v>1.0</v>
      </c>
      <c r="G156" s="15">
        <v>2022.0</v>
      </c>
    </row>
    <row r="157" ht="15.75" customHeight="1">
      <c r="A157" s="15" t="s">
        <v>504</v>
      </c>
      <c r="B157" s="15">
        <v>1.0</v>
      </c>
      <c r="C157" s="15">
        <v>1.0</v>
      </c>
      <c r="D157" s="15">
        <v>0.2</v>
      </c>
      <c r="E157" s="15">
        <v>9.0</v>
      </c>
      <c r="F157" s="15">
        <v>1.0</v>
      </c>
      <c r="G157" s="15">
        <v>2020.0</v>
      </c>
    </row>
    <row r="158" ht="15.75" customHeight="1">
      <c r="A158" s="15" t="s">
        <v>505</v>
      </c>
      <c r="B158" s="15">
        <v>1.0</v>
      </c>
      <c r="C158" s="15">
        <v>1.0</v>
      </c>
      <c r="D158" s="15">
        <v>1.0</v>
      </c>
      <c r="E158" s="15">
        <v>2.0</v>
      </c>
      <c r="F158" s="15">
        <v>1.0</v>
      </c>
      <c r="G158" s="15">
        <v>2024.0</v>
      </c>
    </row>
    <row r="159" ht="15.75" customHeight="1">
      <c r="A159" s="15" t="s">
        <v>506</v>
      </c>
      <c r="B159" s="15">
        <v>1.0</v>
      </c>
      <c r="C159" s="15">
        <v>1.0</v>
      </c>
      <c r="D159" s="15">
        <v>0.333333333333333</v>
      </c>
      <c r="E159" s="15">
        <v>39.0</v>
      </c>
      <c r="F159" s="15">
        <v>1.0</v>
      </c>
      <c r="G159" s="15">
        <v>2022.0</v>
      </c>
    </row>
    <row r="160" ht="15.75" customHeight="1">
      <c r="A160" s="15" t="s">
        <v>507</v>
      </c>
      <c r="B160" s="15">
        <v>1.0</v>
      </c>
      <c r="C160" s="15">
        <v>1.0</v>
      </c>
      <c r="D160" s="15">
        <v>0.1</v>
      </c>
      <c r="E160" s="15">
        <v>13.0</v>
      </c>
      <c r="F160" s="15">
        <v>1.0</v>
      </c>
      <c r="G160" s="15">
        <v>2015.0</v>
      </c>
    </row>
    <row r="161" ht="15.75" customHeight="1">
      <c r="A161" s="15" t="s">
        <v>508</v>
      </c>
      <c r="B161" s="15">
        <v>1.0</v>
      </c>
      <c r="C161" s="15">
        <v>1.0</v>
      </c>
      <c r="D161" s="15">
        <v>0.142857142857143</v>
      </c>
      <c r="E161" s="15">
        <v>8.0</v>
      </c>
      <c r="F161" s="15">
        <v>1.0</v>
      </c>
      <c r="G161" s="15">
        <v>2018.0</v>
      </c>
    </row>
    <row r="162" ht="15.75" customHeight="1">
      <c r="A162" s="15" t="s">
        <v>509</v>
      </c>
      <c r="B162" s="15">
        <v>1.0</v>
      </c>
      <c r="C162" s="15">
        <v>1.0</v>
      </c>
      <c r="D162" s="15">
        <v>0.111111111111111</v>
      </c>
      <c r="E162" s="15">
        <v>4.0</v>
      </c>
      <c r="F162" s="15">
        <v>1.0</v>
      </c>
      <c r="G162" s="15">
        <v>2016.0</v>
      </c>
    </row>
    <row r="163" ht="15.75" customHeight="1">
      <c r="A163" s="15" t="s">
        <v>510</v>
      </c>
      <c r="B163" s="15">
        <v>1.0</v>
      </c>
      <c r="C163" s="15">
        <v>1.0</v>
      </c>
      <c r="D163" s="15">
        <v>1.0</v>
      </c>
      <c r="E163" s="15">
        <v>3.0</v>
      </c>
      <c r="F163" s="15">
        <v>1.0</v>
      </c>
      <c r="G163" s="15">
        <v>2024.0</v>
      </c>
    </row>
    <row r="164" ht="15.75" customHeight="1">
      <c r="A164" s="15" t="s">
        <v>511</v>
      </c>
      <c r="B164" s="15">
        <v>1.0</v>
      </c>
      <c r="C164" s="15">
        <v>1.0</v>
      </c>
      <c r="D164" s="15">
        <v>1.0</v>
      </c>
      <c r="E164" s="15">
        <v>2.0</v>
      </c>
      <c r="F164" s="15">
        <v>1.0</v>
      </c>
      <c r="G164" s="15">
        <v>2024.0</v>
      </c>
    </row>
    <row r="165" ht="15.75" customHeight="1">
      <c r="A165" s="15" t="s">
        <v>512</v>
      </c>
      <c r="B165" s="15">
        <v>1.0</v>
      </c>
      <c r="C165" s="15">
        <v>1.0</v>
      </c>
      <c r="D165" s="15">
        <v>0.0769230769230769</v>
      </c>
      <c r="E165" s="15">
        <v>1.0</v>
      </c>
      <c r="F165" s="15">
        <v>1.0</v>
      </c>
      <c r="G165" s="15">
        <v>2012.0</v>
      </c>
    </row>
    <row r="166" ht="15.75" customHeight="1">
      <c r="A166" s="15" t="s">
        <v>513</v>
      </c>
      <c r="B166" s="15">
        <v>1.0</v>
      </c>
      <c r="C166" s="15">
        <v>1.0</v>
      </c>
      <c r="D166" s="15">
        <v>1.0</v>
      </c>
      <c r="E166" s="15">
        <v>1.0</v>
      </c>
      <c r="F166" s="15">
        <v>1.0</v>
      </c>
      <c r="G166" s="15">
        <v>2024.0</v>
      </c>
    </row>
    <row r="167" ht="15.75" customHeight="1">
      <c r="A167" s="15" t="s">
        <v>514</v>
      </c>
      <c r="B167" s="15">
        <v>1.0</v>
      </c>
      <c r="C167" s="15">
        <v>1.0</v>
      </c>
      <c r="D167" s="15">
        <v>0.333333333333333</v>
      </c>
      <c r="E167" s="15">
        <v>6.0</v>
      </c>
      <c r="F167" s="15">
        <v>1.0</v>
      </c>
      <c r="G167" s="15">
        <v>2022.0</v>
      </c>
    </row>
    <row r="168" ht="15.75" customHeight="1">
      <c r="A168" s="15" t="s">
        <v>515</v>
      </c>
      <c r="B168" s="15">
        <v>1.0</v>
      </c>
      <c r="C168" s="15">
        <v>1.0</v>
      </c>
      <c r="D168" s="15">
        <v>1.0</v>
      </c>
      <c r="E168" s="15">
        <v>1.0</v>
      </c>
      <c r="F168" s="15">
        <v>1.0</v>
      </c>
      <c r="G168" s="15">
        <v>2024.0</v>
      </c>
    </row>
    <row r="169" ht="15.75" customHeight="1">
      <c r="A169" s="15" t="s">
        <v>516</v>
      </c>
      <c r="B169" s="15">
        <v>1.0</v>
      </c>
      <c r="C169" s="15">
        <v>1.0</v>
      </c>
      <c r="D169" s="15">
        <v>0.5</v>
      </c>
      <c r="E169" s="15">
        <v>16.0</v>
      </c>
      <c r="F169" s="15">
        <v>1.0</v>
      </c>
      <c r="G169" s="15">
        <v>2023.0</v>
      </c>
    </row>
    <row r="170" ht="15.75" customHeight="1">
      <c r="A170" s="15" t="s">
        <v>517</v>
      </c>
      <c r="B170" s="15">
        <v>1.0</v>
      </c>
      <c r="C170" s="15">
        <v>1.0</v>
      </c>
      <c r="D170" s="15">
        <v>0.5</v>
      </c>
      <c r="E170" s="15">
        <v>5.0</v>
      </c>
      <c r="F170" s="15">
        <v>1.0</v>
      </c>
      <c r="G170" s="15">
        <v>2023.0</v>
      </c>
    </row>
    <row r="171" ht="15.75" customHeight="1">
      <c r="A171" s="15" t="s">
        <v>518</v>
      </c>
      <c r="B171" s="15">
        <v>1.0</v>
      </c>
      <c r="C171" s="15">
        <v>1.0</v>
      </c>
      <c r="D171" s="15">
        <v>0.2</v>
      </c>
      <c r="E171" s="15">
        <v>2.0</v>
      </c>
      <c r="F171" s="15">
        <v>1.0</v>
      </c>
      <c r="G171" s="15">
        <v>2020.0</v>
      </c>
    </row>
    <row r="172" ht="15.75" customHeight="1">
      <c r="A172" s="15" t="s">
        <v>519</v>
      </c>
      <c r="B172" s="15">
        <v>1.0</v>
      </c>
      <c r="C172" s="15">
        <v>1.0</v>
      </c>
      <c r="D172" s="15">
        <v>0.333333333333333</v>
      </c>
      <c r="E172" s="15">
        <v>10.0</v>
      </c>
      <c r="F172" s="15">
        <v>1.0</v>
      </c>
      <c r="G172" s="15">
        <v>2022.0</v>
      </c>
    </row>
    <row r="173" ht="15.75" customHeight="1">
      <c r="A173" s="15" t="s">
        <v>520</v>
      </c>
      <c r="B173" s="15">
        <v>1.0</v>
      </c>
      <c r="C173" s="15">
        <v>1.0</v>
      </c>
      <c r="D173" s="15">
        <v>1.0</v>
      </c>
      <c r="E173" s="15">
        <v>2.0</v>
      </c>
      <c r="F173" s="15">
        <v>1.0</v>
      </c>
      <c r="G173" s="15">
        <v>2024.0</v>
      </c>
    </row>
    <row r="174" ht="15.75" customHeight="1">
      <c r="A174" s="15" t="s">
        <v>521</v>
      </c>
      <c r="B174" s="15">
        <v>1.0</v>
      </c>
      <c r="C174" s="15">
        <v>1.0</v>
      </c>
      <c r="D174" s="15">
        <v>1.0</v>
      </c>
      <c r="E174" s="15">
        <v>2.0</v>
      </c>
      <c r="F174" s="15">
        <v>1.0</v>
      </c>
      <c r="G174" s="15">
        <v>2024.0</v>
      </c>
    </row>
    <row r="175" ht="15.75" customHeight="1">
      <c r="A175" s="15" t="s">
        <v>522</v>
      </c>
      <c r="B175" s="15">
        <v>1.0</v>
      </c>
      <c r="C175" s="15">
        <v>1.0</v>
      </c>
      <c r="D175" s="15">
        <v>0.111111111111111</v>
      </c>
      <c r="E175" s="15">
        <v>7.0</v>
      </c>
      <c r="F175" s="15">
        <v>1.0</v>
      </c>
      <c r="G175" s="15">
        <v>2016.0</v>
      </c>
    </row>
    <row r="176" ht="15.75" customHeight="1">
      <c r="A176" s="15" t="s">
        <v>523</v>
      </c>
      <c r="B176" s="15">
        <v>1.0</v>
      </c>
      <c r="C176" s="15">
        <v>1.0</v>
      </c>
      <c r="D176" s="15">
        <v>1.0</v>
      </c>
      <c r="E176" s="15">
        <v>5.0</v>
      </c>
      <c r="F176" s="15">
        <v>1.0</v>
      </c>
      <c r="G176" s="15">
        <v>2024.0</v>
      </c>
    </row>
    <row r="177" ht="15.75" customHeight="1">
      <c r="A177" s="15" t="s">
        <v>524</v>
      </c>
      <c r="B177" s="15">
        <v>1.0</v>
      </c>
      <c r="C177" s="15">
        <v>1.0</v>
      </c>
      <c r="D177" s="15">
        <v>0.25</v>
      </c>
      <c r="E177" s="15">
        <v>1.0</v>
      </c>
      <c r="F177" s="15">
        <v>1.0</v>
      </c>
      <c r="G177" s="15">
        <v>2021.0</v>
      </c>
    </row>
    <row r="178" ht="15.75" customHeight="1">
      <c r="A178" s="15" t="s">
        <v>525</v>
      </c>
      <c r="B178" s="15">
        <v>1.0</v>
      </c>
      <c r="C178" s="15">
        <v>1.0</v>
      </c>
      <c r="D178" s="15">
        <v>0.5</v>
      </c>
      <c r="E178" s="15">
        <v>2.0</v>
      </c>
      <c r="F178" s="15">
        <v>1.0</v>
      </c>
      <c r="G178" s="15">
        <v>2023.0</v>
      </c>
    </row>
    <row r="179" ht="15.75" customHeight="1">
      <c r="A179" s="15" t="s">
        <v>526</v>
      </c>
      <c r="B179" s="15">
        <v>1.0</v>
      </c>
      <c r="C179" s="15">
        <v>1.0</v>
      </c>
      <c r="D179" s="15">
        <v>0.2</v>
      </c>
      <c r="E179" s="15">
        <v>25.0</v>
      </c>
      <c r="F179" s="15">
        <v>1.0</v>
      </c>
      <c r="G179" s="15">
        <v>2020.0</v>
      </c>
    </row>
    <row r="180" ht="15.75" customHeight="1">
      <c r="A180" s="15" t="s">
        <v>527</v>
      </c>
      <c r="B180" s="15">
        <v>1.0</v>
      </c>
      <c r="C180" s="15">
        <v>1.0</v>
      </c>
      <c r="D180" s="15">
        <v>0.333333333333333</v>
      </c>
      <c r="E180" s="15">
        <v>1.0</v>
      </c>
      <c r="F180" s="15">
        <v>1.0</v>
      </c>
      <c r="G180" s="15">
        <v>2022.0</v>
      </c>
    </row>
    <row r="181" ht="15.75" customHeight="1">
      <c r="A181" s="15" t="s">
        <v>528</v>
      </c>
      <c r="B181" s="15">
        <v>1.0</v>
      </c>
      <c r="C181" s="15">
        <v>1.0</v>
      </c>
      <c r="D181" s="15">
        <v>0.2</v>
      </c>
      <c r="E181" s="15">
        <v>2.0</v>
      </c>
      <c r="F181" s="15">
        <v>1.0</v>
      </c>
      <c r="G181" s="15">
        <v>2020.0</v>
      </c>
    </row>
    <row r="182" ht="15.75" customHeight="1">
      <c r="A182" s="15" t="s">
        <v>529</v>
      </c>
      <c r="B182" s="15">
        <v>1.0</v>
      </c>
      <c r="C182" s="15">
        <v>1.0</v>
      </c>
      <c r="D182" s="15">
        <v>0.25</v>
      </c>
      <c r="E182" s="15">
        <v>5.0</v>
      </c>
      <c r="F182" s="15">
        <v>1.0</v>
      </c>
      <c r="G182" s="15">
        <v>2021.0</v>
      </c>
    </row>
    <row r="183" ht="15.75" customHeight="1">
      <c r="A183" s="15" t="s">
        <v>530</v>
      </c>
      <c r="B183" s="15">
        <v>1.0</v>
      </c>
      <c r="C183" s="15">
        <v>1.0</v>
      </c>
      <c r="D183" s="15">
        <v>0.333333333333333</v>
      </c>
      <c r="E183" s="15">
        <v>1.0</v>
      </c>
      <c r="F183" s="15">
        <v>1.0</v>
      </c>
      <c r="G183" s="15">
        <v>2022.0</v>
      </c>
    </row>
    <row r="184" ht="15.75" customHeight="1">
      <c r="A184" s="15" t="s">
        <v>531</v>
      </c>
      <c r="B184" s="15">
        <v>1.0</v>
      </c>
      <c r="C184" s="15">
        <v>1.0</v>
      </c>
      <c r="D184" s="15">
        <v>0.5</v>
      </c>
      <c r="E184" s="15">
        <v>1.0</v>
      </c>
      <c r="F184" s="15">
        <v>1.0</v>
      </c>
      <c r="G184" s="15">
        <v>2023.0</v>
      </c>
    </row>
    <row r="185" ht="15.75" customHeight="1">
      <c r="A185" s="15" t="s">
        <v>532</v>
      </c>
      <c r="B185" s="15">
        <v>1.0</v>
      </c>
      <c r="C185" s="15">
        <v>1.0</v>
      </c>
      <c r="D185" s="15">
        <v>0.5</v>
      </c>
      <c r="E185" s="15">
        <v>3.0</v>
      </c>
      <c r="F185" s="15">
        <v>1.0</v>
      </c>
      <c r="G185" s="15">
        <v>2023.0</v>
      </c>
    </row>
    <row r="186" ht="15.75" customHeight="1">
      <c r="A186" s="15" t="s">
        <v>533</v>
      </c>
      <c r="B186" s="15">
        <v>1.0</v>
      </c>
      <c r="C186" s="15">
        <v>1.0</v>
      </c>
      <c r="D186" s="15">
        <v>0.333333333333333</v>
      </c>
      <c r="E186" s="15">
        <v>5.0</v>
      </c>
      <c r="F186" s="15">
        <v>1.0</v>
      </c>
      <c r="G186" s="15">
        <v>2022.0</v>
      </c>
    </row>
    <row r="187" ht="15.75" customHeight="1">
      <c r="A187" s="15" t="s">
        <v>534</v>
      </c>
      <c r="B187" s="15">
        <v>1.0</v>
      </c>
      <c r="C187" s="15">
        <v>1.0</v>
      </c>
      <c r="D187" s="15">
        <v>0.5</v>
      </c>
      <c r="E187" s="15">
        <v>1.0</v>
      </c>
      <c r="F187" s="15">
        <v>1.0</v>
      </c>
      <c r="G187" s="15">
        <v>2023.0</v>
      </c>
    </row>
    <row r="188" ht="15.75" customHeight="1">
      <c r="A188" s="15" t="s">
        <v>535</v>
      </c>
      <c r="B188" s="15">
        <v>1.0</v>
      </c>
      <c r="C188" s="15">
        <v>1.0</v>
      </c>
      <c r="D188" s="15">
        <v>0.5</v>
      </c>
      <c r="E188" s="15">
        <v>2.0</v>
      </c>
      <c r="F188" s="15">
        <v>1.0</v>
      </c>
      <c r="G188" s="15">
        <v>2023.0</v>
      </c>
    </row>
    <row r="189" ht="15.75" customHeight="1">
      <c r="A189" s="15" t="s">
        <v>536</v>
      </c>
      <c r="B189" s="15">
        <v>1.0</v>
      </c>
      <c r="C189" s="15">
        <v>1.0</v>
      </c>
      <c r="D189" s="15">
        <v>0.333333333333333</v>
      </c>
      <c r="E189" s="15">
        <v>10.0</v>
      </c>
      <c r="F189" s="15">
        <v>1.0</v>
      </c>
      <c r="G189" s="15">
        <v>2022.0</v>
      </c>
    </row>
    <row r="190" ht="15.75" customHeight="1">
      <c r="A190" s="15" t="s">
        <v>537</v>
      </c>
      <c r="B190" s="15">
        <v>1.0</v>
      </c>
      <c r="C190" s="15">
        <v>1.0</v>
      </c>
      <c r="D190" s="15">
        <v>0.5</v>
      </c>
      <c r="E190" s="15">
        <v>19.0</v>
      </c>
      <c r="F190" s="15">
        <v>1.0</v>
      </c>
      <c r="G190" s="15">
        <v>2023.0</v>
      </c>
    </row>
    <row r="191" ht="15.75" customHeight="1">
      <c r="A191" s="15" t="s">
        <v>538</v>
      </c>
      <c r="B191" s="15">
        <v>1.0</v>
      </c>
      <c r="C191" s="15">
        <v>1.0</v>
      </c>
      <c r="D191" s="15">
        <v>0.2</v>
      </c>
      <c r="E191" s="15">
        <v>60.0</v>
      </c>
      <c r="F191" s="15">
        <v>1.0</v>
      </c>
      <c r="G191" s="15">
        <v>2020.0</v>
      </c>
    </row>
    <row r="192" ht="15.75" customHeight="1">
      <c r="A192" s="15" t="s">
        <v>539</v>
      </c>
      <c r="B192" s="15">
        <v>1.0</v>
      </c>
      <c r="C192" s="15">
        <v>1.0</v>
      </c>
      <c r="D192" s="15">
        <v>0.333333333333333</v>
      </c>
      <c r="E192" s="15">
        <v>3.0</v>
      </c>
      <c r="F192" s="15">
        <v>1.0</v>
      </c>
      <c r="G192" s="15">
        <v>2022.0</v>
      </c>
    </row>
    <row r="193" ht="15.75" customHeight="1">
      <c r="A193" s="15" t="s">
        <v>540</v>
      </c>
      <c r="B193" s="15">
        <v>1.0</v>
      </c>
      <c r="C193" s="15">
        <v>1.0</v>
      </c>
      <c r="D193" s="15">
        <v>0.1</v>
      </c>
      <c r="E193" s="15">
        <v>16.0</v>
      </c>
      <c r="F193" s="15">
        <v>1.0</v>
      </c>
      <c r="G193" s="15">
        <v>2015.0</v>
      </c>
    </row>
    <row r="194" ht="15.75" customHeight="1">
      <c r="A194" s="15" t="s">
        <v>541</v>
      </c>
      <c r="B194" s="15">
        <v>1.0</v>
      </c>
      <c r="C194" s="15">
        <v>1.0</v>
      </c>
      <c r="D194" s="15">
        <v>0.2</v>
      </c>
      <c r="E194" s="15">
        <v>19.0</v>
      </c>
      <c r="F194" s="15">
        <v>1.0</v>
      </c>
      <c r="G194" s="15">
        <v>2020.0</v>
      </c>
    </row>
    <row r="195" ht="15.75" customHeight="1">
      <c r="A195" s="15" t="s">
        <v>542</v>
      </c>
      <c r="B195" s="15">
        <v>1.0</v>
      </c>
      <c r="C195" s="15">
        <v>1.0</v>
      </c>
      <c r="D195" s="15">
        <v>0.5</v>
      </c>
      <c r="E195" s="15">
        <v>2.0</v>
      </c>
      <c r="F195" s="15">
        <v>1.0</v>
      </c>
      <c r="G195" s="15">
        <v>2023.0</v>
      </c>
    </row>
    <row r="196" ht="15.75" customHeight="1">
      <c r="A196" s="15" t="s">
        <v>543</v>
      </c>
      <c r="B196" s="15">
        <v>1.0</v>
      </c>
      <c r="C196" s="15">
        <v>1.0</v>
      </c>
      <c r="D196" s="15">
        <v>0.25</v>
      </c>
      <c r="E196" s="15">
        <v>12.0</v>
      </c>
      <c r="F196" s="15">
        <v>1.0</v>
      </c>
      <c r="G196" s="15">
        <v>2021.0</v>
      </c>
    </row>
    <row r="197" ht="15.75" customHeight="1">
      <c r="A197" s="15" t="s">
        <v>544</v>
      </c>
      <c r="B197" s="15">
        <v>1.0</v>
      </c>
      <c r="C197" s="15">
        <v>1.0</v>
      </c>
      <c r="D197" s="15">
        <v>0.0909090909090909</v>
      </c>
      <c r="E197" s="15">
        <v>376.0</v>
      </c>
      <c r="F197" s="15">
        <v>1.0</v>
      </c>
      <c r="G197" s="15">
        <v>2014.0</v>
      </c>
    </row>
    <row r="198" ht="15.75" customHeight="1">
      <c r="A198" s="15" t="s">
        <v>545</v>
      </c>
      <c r="B198" s="15">
        <v>1.0</v>
      </c>
      <c r="C198" s="15">
        <v>1.0</v>
      </c>
      <c r="D198" s="15">
        <v>0.2</v>
      </c>
      <c r="E198" s="15">
        <v>3.0</v>
      </c>
      <c r="F198" s="15">
        <v>1.0</v>
      </c>
      <c r="G198" s="15">
        <v>2020.0</v>
      </c>
    </row>
    <row r="199" ht="15.75" customHeight="1">
      <c r="A199" s="15" t="s">
        <v>546</v>
      </c>
      <c r="B199" s="15">
        <v>1.0</v>
      </c>
      <c r="C199" s="15">
        <v>1.0</v>
      </c>
      <c r="D199" s="15">
        <v>1.0</v>
      </c>
      <c r="E199" s="15">
        <v>3.0</v>
      </c>
      <c r="F199" s="15">
        <v>1.0</v>
      </c>
      <c r="G199" s="15">
        <v>2024.0</v>
      </c>
    </row>
    <row r="200" ht="15.75" customHeight="1">
      <c r="A200" s="15" t="s">
        <v>547</v>
      </c>
      <c r="B200" s="15">
        <v>1.0</v>
      </c>
      <c r="C200" s="15">
        <v>1.0</v>
      </c>
      <c r="D200" s="15">
        <v>0.0833333333333333</v>
      </c>
      <c r="E200" s="15">
        <v>5.0</v>
      </c>
      <c r="F200" s="15">
        <v>1.0</v>
      </c>
      <c r="G200" s="15">
        <v>2013.0</v>
      </c>
    </row>
    <row r="201" ht="15.75" customHeight="1">
      <c r="A201" s="15" t="s">
        <v>548</v>
      </c>
      <c r="B201" s="15">
        <v>1.0</v>
      </c>
      <c r="C201" s="15">
        <v>1.0</v>
      </c>
      <c r="D201" s="15">
        <v>0.333333333333333</v>
      </c>
      <c r="E201" s="15">
        <v>1.0</v>
      </c>
      <c r="F201" s="15">
        <v>1.0</v>
      </c>
      <c r="G201" s="15">
        <v>2022.0</v>
      </c>
    </row>
    <row r="202" ht="15.75" customHeight="1">
      <c r="A202" s="15" t="s">
        <v>549</v>
      </c>
      <c r="B202" s="15">
        <v>1.0</v>
      </c>
      <c r="C202" s="15">
        <v>1.0</v>
      </c>
      <c r="D202" s="15">
        <v>0.0769230769230769</v>
      </c>
      <c r="E202" s="15">
        <v>5.0</v>
      </c>
      <c r="F202" s="15">
        <v>1.0</v>
      </c>
      <c r="G202" s="15">
        <v>2012.0</v>
      </c>
    </row>
    <row r="203" ht="15.75" customHeight="1">
      <c r="A203" s="15" t="s">
        <v>550</v>
      </c>
      <c r="B203" s="15">
        <v>1.0</v>
      </c>
      <c r="C203" s="15">
        <v>1.0</v>
      </c>
      <c r="D203" s="15">
        <v>0.25</v>
      </c>
      <c r="E203" s="15">
        <v>12.0</v>
      </c>
      <c r="F203" s="15">
        <v>1.0</v>
      </c>
      <c r="G203" s="15">
        <v>2021.0</v>
      </c>
    </row>
    <row r="204" ht="15.75" customHeight="1">
      <c r="A204" s="15" t="s">
        <v>551</v>
      </c>
      <c r="B204" s="15">
        <v>1.0</v>
      </c>
      <c r="C204" s="15">
        <v>1.0</v>
      </c>
      <c r="D204" s="15">
        <v>0.0714285714285714</v>
      </c>
      <c r="E204" s="15">
        <v>7.0</v>
      </c>
      <c r="F204" s="15">
        <v>1.0</v>
      </c>
      <c r="G204" s="15">
        <v>2011.0</v>
      </c>
    </row>
    <row r="205" ht="15.75" customHeight="1">
      <c r="A205" s="15" t="s">
        <v>552</v>
      </c>
      <c r="B205" s="15">
        <v>1.0</v>
      </c>
      <c r="C205" s="15">
        <v>1.0</v>
      </c>
      <c r="D205" s="15">
        <v>1.0</v>
      </c>
      <c r="E205" s="15">
        <v>2.0</v>
      </c>
      <c r="F205" s="15">
        <v>1.0</v>
      </c>
      <c r="G205" s="15">
        <v>2024.0</v>
      </c>
    </row>
    <row r="206" ht="15.75" customHeight="1">
      <c r="A206" s="15" t="s">
        <v>553</v>
      </c>
      <c r="B206" s="15">
        <v>1.0</v>
      </c>
      <c r="C206" s="15">
        <v>1.0</v>
      </c>
      <c r="D206" s="15">
        <v>0.5</v>
      </c>
      <c r="E206" s="15">
        <v>3.0</v>
      </c>
      <c r="F206" s="15">
        <v>1.0</v>
      </c>
      <c r="G206" s="15">
        <v>2023.0</v>
      </c>
    </row>
    <row r="207" ht="15.75" customHeight="1">
      <c r="A207" s="15" t="s">
        <v>554</v>
      </c>
      <c r="B207" s="15">
        <v>1.0</v>
      </c>
      <c r="C207" s="15">
        <v>1.0</v>
      </c>
      <c r="D207" s="15">
        <v>0.333333333333333</v>
      </c>
      <c r="E207" s="15">
        <v>1.0</v>
      </c>
      <c r="F207" s="15">
        <v>1.0</v>
      </c>
      <c r="G207" s="15">
        <v>2022.0</v>
      </c>
    </row>
    <row r="208" ht="15.75" customHeight="1">
      <c r="A208" s="15" t="s">
        <v>555</v>
      </c>
      <c r="B208" s="15">
        <v>1.0</v>
      </c>
      <c r="C208" s="15">
        <v>1.0</v>
      </c>
      <c r="D208" s="15">
        <v>0.142857142857143</v>
      </c>
      <c r="E208" s="15">
        <v>13.0</v>
      </c>
      <c r="F208" s="15">
        <v>1.0</v>
      </c>
      <c r="G208" s="15">
        <v>2018.0</v>
      </c>
    </row>
    <row r="209" ht="15.75" customHeight="1">
      <c r="A209" s="15" t="s">
        <v>556</v>
      </c>
      <c r="B209" s="15">
        <v>1.0</v>
      </c>
      <c r="C209" s="15">
        <v>1.0</v>
      </c>
      <c r="D209" s="15">
        <v>0.2</v>
      </c>
      <c r="E209" s="15">
        <v>3.0</v>
      </c>
      <c r="F209" s="15">
        <v>1.0</v>
      </c>
      <c r="G209" s="15">
        <v>2020.0</v>
      </c>
    </row>
    <row r="210" ht="15.75" customHeight="1">
      <c r="A210" s="15" t="s">
        <v>557</v>
      </c>
      <c r="B210" s="15">
        <v>1.0</v>
      </c>
      <c r="C210" s="15">
        <v>1.0</v>
      </c>
      <c r="D210" s="15">
        <v>0.166666666666667</v>
      </c>
      <c r="E210" s="15">
        <v>1.0</v>
      </c>
      <c r="F210" s="15">
        <v>1.0</v>
      </c>
      <c r="G210" s="15">
        <v>2019.0</v>
      </c>
    </row>
    <row r="211" ht="15.75" customHeight="1">
      <c r="A211" s="15" t="s">
        <v>558</v>
      </c>
      <c r="B211" s="15">
        <v>1.0</v>
      </c>
      <c r="C211" s="15">
        <v>1.0</v>
      </c>
      <c r="D211" s="15">
        <v>0.2</v>
      </c>
      <c r="E211" s="15">
        <v>1.0</v>
      </c>
      <c r="F211" s="15">
        <v>1.0</v>
      </c>
      <c r="G211" s="15">
        <v>2020.0</v>
      </c>
    </row>
    <row r="212" ht="15.75" customHeight="1">
      <c r="A212" s="15" t="s">
        <v>559</v>
      </c>
      <c r="B212" s="15">
        <v>1.0</v>
      </c>
      <c r="C212" s="15">
        <v>1.0</v>
      </c>
      <c r="D212" s="15">
        <v>1.0</v>
      </c>
      <c r="E212" s="15">
        <v>3.0</v>
      </c>
      <c r="F212" s="15">
        <v>1.0</v>
      </c>
      <c r="G212" s="15">
        <v>2024.0</v>
      </c>
    </row>
    <row r="213" ht="15.75" customHeight="1">
      <c r="A213" s="15" t="s">
        <v>560</v>
      </c>
      <c r="B213" s="15">
        <v>1.0</v>
      </c>
      <c r="C213" s="15">
        <v>1.0</v>
      </c>
      <c r="D213" s="15">
        <v>0.25</v>
      </c>
      <c r="E213" s="15">
        <v>12.0</v>
      </c>
      <c r="F213" s="15">
        <v>1.0</v>
      </c>
      <c r="G213" s="15">
        <v>2021.0</v>
      </c>
    </row>
    <row r="214" ht="15.75" customHeight="1">
      <c r="A214" s="15" t="s">
        <v>561</v>
      </c>
      <c r="B214" s="15">
        <v>1.0</v>
      </c>
      <c r="C214" s="15">
        <v>1.0</v>
      </c>
      <c r="D214" s="15">
        <v>0.25</v>
      </c>
      <c r="E214" s="15">
        <v>6.0</v>
      </c>
      <c r="F214" s="15">
        <v>1.0</v>
      </c>
      <c r="G214" s="15">
        <v>2021.0</v>
      </c>
    </row>
    <row r="215" ht="15.75" customHeight="1">
      <c r="A215" s="15" t="s">
        <v>562</v>
      </c>
      <c r="B215" s="15">
        <v>1.0</v>
      </c>
      <c r="C215" s="15">
        <v>1.0</v>
      </c>
      <c r="D215" s="15">
        <v>0.0526315789473684</v>
      </c>
      <c r="E215" s="15">
        <v>2.0</v>
      </c>
      <c r="F215" s="15">
        <v>1.0</v>
      </c>
      <c r="G215" s="15">
        <v>2006.0</v>
      </c>
    </row>
    <row r="216" ht="15.75" customHeight="1">
      <c r="A216" s="15" t="s">
        <v>563</v>
      </c>
      <c r="B216" s="15">
        <v>1.0</v>
      </c>
      <c r="C216" s="15">
        <v>1.0</v>
      </c>
      <c r="D216" s="15">
        <v>0.333333333333333</v>
      </c>
      <c r="E216" s="15">
        <v>13.0</v>
      </c>
      <c r="F216" s="15">
        <v>1.0</v>
      </c>
      <c r="G216" s="15">
        <v>2022.0</v>
      </c>
    </row>
    <row r="217" ht="15.75" customHeight="1">
      <c r="A217" s="15" t="s">
        <v>564</v>
      </c>
      <c r="B217" s="15">
        <v>1.0</v>
      </c>
      <c r="C217" s="15">
        <v>1.0</v>
      </c>
      <c r="D217" s="15">
        <v>0.2</v>
      </c>
      <c r="E217" s="15">
        <v>4.0</v>
      </c>
      <c r="F217" s="15">
        <v>1.0</v>
      </c>
      <c r="G217" s="15">
        <v>2020.0</v>
      </c>
    </row>
    <row r="218" ht="15.75" customHeight="1">
      <c r="A218" s="15" t="s">
        <v>565</v>
      </c>
      <c r="B218" s="15">
        <v>1.0</v>
      </c>
      <c r="C218" s="15">
        <v>1.0</v>
      </c>
      <c r="D218" s="15">
        <v>1.0</v>
      </c>
      <c r="E218" s="15">
        <v>2.0</v>
      </c>
      <c r="F218" s="15">
        <v>1.0</v>
      </c>
      <c r="G218" s="15">
        <v>2024.0</v>
      </c>
    </row>
    <row r="219" ht="15.75" customHeight="1">
      <c r="A219" s="15" t="s">
        <v>566</v>
      </c>
      <c r="B219" s="15">
        <v>1.0</v>
      </c>
      <c r="C219" s="15">
        <v>1.0</v>
      </c>
      <c r="D219" s="15">
        <v>0.0625</v>
      </c>
      <c r="E219" s="15">
        <v>3.0</v>
      </c>
      <c r="F219" s="15">
        <v>1.0</v>
      </c>
      <c r="G219" s="15">
        <v>2009.0</v>
      </c>
    </row>
    <row r="220" ht="15.75" customHeight="1">
      <c r="A220" s="15" t="s">
        <v>567</v>
      </c>
      <c r="B220" s="15">
        <v>1.0</v>
      </c>
      <c r="C220" s="15">
        <v>1.0</v>
      </c>
      <c r="D220" s="15">
        <v>0.166666666666667</v>
      </c>
      <c r="E220" s="15">
        <v>3.0</v>
      </c>
      <c r="F220" s="15">
        <v>1.0</v>
      </c>
      <c r="G220" s="15">
        <v>2019.0</v>
      </c>
    </row>
    <row r="221" ht="15.75" customHeight="1">
      <c r="A221" s="15" t="s">
        <v>568</v>
      </c>
      <c r="B221" s="15">
        <v>1.0</v>
      </c>
      <c r="C221" s="15">
        <v>1.0</v>
      </c>
      <c r="D221" s="15">
        <v>0.166666666666667</v>
      </c>
      <c r="E221" s="15">
        <v>1.0</v>
      </c>
      <c r="F221" s="15">
        <v>1.0</v>
      </c>
      <c r="G221" s="15">
        <v>2019.0</v>
      </c>
    </row>
    <row r="222" ht="15.75" customHeight="1">
      <c r="A222" s="15" t="s">
        <v>569</v>
      </c>
      <c r="B222" s="15">
        <v>1.0</v>
      </c>
      <c r="C222" s="15">
        <v>1.0</v>
      </c>
      <c r="D222" s="15">
        <v>0.333333333333333</v>
      </c>
      <c r="E222" s="15">
        <v>7.0</v>
      </c>
      <c r="F222" s="15">
        <v>1.0</v>
      </c>
      <c r="G222" s="15">
        <v>2022.0</v>
      </c>
    </row>
    <row r="223" ht="15.75" customHeight="1">
      <c r="A223" s="15" t="s">
        <v>570</v>
      </c>
      <c r="B223" s="15">
        <v>1.0</v>
      </c>
      <c r="C223" s="15">
        <v>1.0</v>
      </c>
      <c r="D223" s="15">
        <v>0.0769230769230769</v>
      </c>
      <c r="E223" s="15">
        <v>5.0</v>
      </c>
      <c r="F223" s="15">
        <v>1.0</v>
      </c>
      <c r="G223" s="15">
        <v>2012.0</v>
      </c>
    </row>
    <row r="224" ht="15.75" customHeight="1">
      <c r="A224" s="15" t="s">
        <v>571</v>
      </c>
      <c r="B224" s="15">
        <v>1.0</v>
      </c>
      <c r="C224" s="15">
        <v>1.0</v>
      </c>
      <c r="D224" s="15">
        <v>0.0625</v>
      </c>
      <c r="E224" s="15">
        <v>7.0</v>
      </c>
      <c r="F224" s="15">
        <v>1.0</v>
      </c>
      <c r="G224" s="15">
        <v>2009.0</v>
      </c>
    </row>
    <row r="225" ht="15.75" customHeight="1">
      <c r="A225" s="15" t="s">
        <v>572</v>
      </c>
      <c r="B225" s="15">
        <v>1.0</v>
      </c>
      <c r="C225" s="15">
        <v>1.0</v>
      </c>
      <c r="D225" s="15">
        <v>1.0</v>
      </c>
      <c r="E225" s="15">
        <v>1.0</v>
      </c>
      <c r="F225" s="15">
        <v>1.0</v>
      </c>
      <c r="G225" s="15">
        <v>2024.0</v>
      </c>
    </row>
    <row r="226" ht="15.75" customHeight="1">
      <c r="A226" s="15" t="s">
        <v>573</v>
      </c>
      <c r="B226" s="15">
        <v>1.0</v>
      </c>
      <c r="C226" s="15">
        <v>1.0</v>
      </c>
      <c r="D226" s="15">
        <v>0.142857142857143</v>
      </c>
      <c r="E226" s="15">
        <v>25.0</v>
      </c>
      <c r="F226" s="15">
        <v>1.0</v>
      </c>
      <c r="G226" s="15">
        <v>2018.0</v>
      </c>
    </row>
    <row r="227" ht="15.75" customHeight="1">
      <c r="A227" s="15" t="s">
        <v>574</v>
      </c>
      <c r="B227" s="15">
        <v>1.0</v>
      </c>
      <c r="C227" s="15">
        <v>1.0</v>
      </c>
      <c r="D227" s="15">
        <v>0.2</v>
      </c>
      <c r="E227" s="15">
        <v>60.0</v>
      </c>
      <c r="F227" s="15">
        <v>1.0</v>
      </c>
      <c r="G227" s="15">
        <v>2020.0</v>
      </c>
    </row>
    <row r="228" ht="15.75" customHeight="1">
      <c r="A228" s="15" t="s">
        <v>575</v>
      </c>
      <c r="B228" s="15">
        <v>1.0</v>
      </c>
      <c r="C228" s="15">
        <v>1.0</v>
      </c>
      <c r="D228" s="15">
        <v>0.333333333333333</v>
      </c>
      <c r="E228" s="15">
        <v>10.0</v>
      </c>
      <c r="F228" s="15">
        <v>1.0</v>
      </c>
      <c r="G228" s="15">
        <v>2022.0</v>
      </c>
    </row>
    <row r="229" ht="15.75" customHeight="1">
      <c r="A229" s="15" t="s">
        <v>576</v>
      </c>
      <c r="B229" s="15">
        <v>1.0</v>
      </c>
      <c r="C229" s="15">
        <v>1.0</v>
      </c>
      <c r="D229" s="15">
        <v>0.0625</v>
      </c>
      <c r="E229" s="15">
        <v>13.0</v>
      </c>
      <c r="F229" s="15">
        <v>1.0</v>
      </c>
      <c r="G229" s="15">
        <v>2009.0</v>
      </c>
    </row>
    <row r="230" ht="15.75" customHeight="1">
      <c r="A230" s="15" t="s">
        <v>577</v>
      </c>
      <c r="B230" s="15">
        <v>1.0</v>
      </c>
      <c r="C230" s="15">
        <v>1.0</v>
      </c>
      <c r="D230" s="15">
        <v>0.2</v>
      </c>
      <c r="E230" s="15">
        <v>3.0</v>
      </c>
      <c r="F230" s="15">
        <v>1.0</v>
      </c>
      <c r="G230" s="15">
        <v>2020.0</v>
      </c>
    </row>
    <row r="231" ht="15.75" customHeight="1">
      <c r="A231" s="15" t="s">
        <v>578</v>
      </c>
      <c r="B231" s="15">
        <v>1.0</v>
      </c>
      <c r="C231" s="15">
        <v>1.0</v>
      </c>
      <c r="D231" s="15">
        <v>0.2</v>
      </c>
      <c r="E231" s="15">
        <v>5.0</v>
      </c>
      <c r="F231" s="15">
        <v>1.0</v>
      </c>
      <c r="G231" s="15">
        <v>2020.0</v>
      </c>
    </row>
    <row r="232" ht="15.75" customHeight="1">
      <c r="A232" s="15" t="s">
        <v>579</v>
      </c>
      <c r="B232" s="15">
        <v>1.0</v>
      </c>
      <c r="C232" s="15">
        <v>1.0</v>
      </c>
      <c r="D232" s="15">
        <v>0.0555555555555556</v>
      </c>
      <c r="E232" s="15">
        <v>14.0</v>
      </c>
      <c r="F232" s="15">
        <v>1.0</v>
      </c>
      <c r="G232" s="15">
        <v>2007.0</v>
      </c>
    </row>
    <row r="233" ht="15.75" customHeight="1">
      <c r="A233" s="15" t="s">
        <v>580</v>
      </c>
      <c r="B233" s="15">
        <v>1.0</v>
      </c>
      <c r="C233" s="15">
        <v>1.0</v>
      </c>
      <c r="D233" s="15">
        <v>0.2</v>
      </c>
      <c r="E233" s="15">
        <v>2.0</v>
      </c>
      <c r="F233" s="15">
        <v>1.0</v>
      </c>
      <c r="G233" s="15">
        <v>2020.0</v>
      </c>
    </row>
    <row r="234" ht="15.75" customHeight="1">
      <c r="A234" s="15" t="s">
        <v>581</v>
      </c>
      <c r="B234" s="15">
        <v>1.0</v>
      </c>
      <c r="C234" s="15">
        <v>1.0</v>
      </c>
      <c r="D234" s="15">
        <v>0.0476190476190476</v>
      </c>
      <c r="E234" s="15">
        <v>58.0</v>
      </c>
      <c r="F234" s="15">
        <v>1.0</v>
      </c>
      <c r="G234" s="15">
        <v>2004.0</v>
      </c>
    </row>
    <row r="235" ht="15.75" customHeight="1">
      <c r="A235" s="15" t="s">
        <v>582</v>
      </c>
      <c r="B235" s="15">
        <v>1.0</v>
      </c>
      <c r="C235" s="15">
        <v>1.0</v>
      </c>
      <c r="D235" s="15">
        <v>0.166666666666667</v>
      </c>
      <c r="E235" s="15">
        <v>11.0</v>
      </c>
      <c r="F235" s="15">
        <v>1.0</v>
      </c>
      <c r="G235" s="15">
        <v>2019.0</v>
      </c>
    </row>
    <row r="236" ht="15.75" customHeight="1">
      <c r="A236" s="15" t="s">
        <v>583</v>
      </c>
      <c r="B236" s="15">
        <v>1.0</v>
      </c>
      <c r="C236" s="15">
        <v>1.0</v>
      </c>
      <c r="D236" s="15">
        <v>0.0625</v>
      </c>
      <c r="E236" s="15">
        <v>13.0</v>
      </c>
      <c r="F236" s="15">
        <v>1.0</v>
      </c>
      <c r="G236" s="15">
        <v>2009.0</v>
      </c>
    </row>
    <row r="237" ht="15.75" customHeight="1">
      <c r="A237" s="15" t="s">
        <v>584</v>
      </c>
      <c r="B237" s="15">
        <v>1.0</v>
      </c>
      <c r="C237" s="15">
        <v>1.0</v>
      </c>
      <c r="D237" s="15">
        <v>0.333333333333333</v>
      </c>
      <c r="E237" s="15">
        <v>3.0</v>
      </c>
      <c r="F237" s="15">
        <v>1.0</v>
      </c>
      <c r="G237" s="15">
        <v>2022.0</v>
      </c>
    </row>
    <row r="238" ht="15.75" customHeight="1">
      <c r="A238" s="15" t="s">
        <v>585</v>
      </c>
      <c r="B238" s="15">
        <v>1.0</v>
      </c>
      <c r="C238" s="15">
        <v>1.0</v>
      </c>
      <c r="D238" s="15">
        <v>0.2</v>
      </c>
      <c r="E238" s="15">
        <v>23.0</v>
      </c>
      <c r="F238" s="15">
        <v>1.0</v>
      </c>
      <c r="G238" s="15">
        <v>2020.0</v>
      </c>
    </row>
    <row r="239" ht="15.75" customHeight="1">
      <c r="A239" s="15" t="s">
        <v>586</v>
      </c>
      <c r="B239" s="15">
        <v>1.0</v>
      </c>
      <c r="C239" s="15">
        <v>1.0</v>
      </c>
      <c r="D239" s="15">
        <v>0.333333333333333</v>
      </c>
      <c r="E239" s="15">
        <v>29.0</v>
      </c>
      <c r="F239" s="15">
        <v>1.0</v>
      </c>
      <c r="G239" s="15">
        <v>2022.0</v>
      </c>
    </row>
    <row r="240" ht="15.75" customHeight="1">
      <c r="A240" s="15" t="s">
        <v>587</v>
      </c>
      <c r="B240" s="15">
        <v>1.0</v>
      </c>
      <c r="C240" s="15">
        <v>1.0</v>
      </c>
      <c r="D240" s="15">
        <v>0.0555555555555556</v>
      </c>
      <c r="E240" s="15">
        <v>305.0</v>
      </c>
      <c r="F240" s="15">
        <v>1.0</v>
      </c>
      <c r="G240" s="15">
        <v>2007.0</v>
      </c>
    </row>
    <row r="241" ht="15.75" customHeight="1">
      <c r="A241" s="15" t="s">
        <v>588</v>
      </c>
      <c r="B241" s="15">
        <v>1.0</v>
      </c>
      <c r="C241" s="15">
        <v>1.0</v>
      </c>
      <c r="D241" s="15">
        <v>0.2</v>
      </c>
      <c r="E241" s="15">
        <v>43.0</v>
      </c>
      <c r="F241" s="15">
        <v>1.0</v>
      </c>
      <c r="G241" s="15">
        <v>2020.0</v>
      </c>
    </row>
    <row r="242" ht="15.75" customHeight="1">
      <c r="A242" s="15" t="s">
        <v>589</v>
      </c>
      <c r="B242" s="15">
        <v>1.0</v>
      </c>
      <c r="C242" s="15">
        <v>1.0</v>
      </c>
      <c r="D242" s="15">
        <v>0.2</v>
      </c>
      <c r="E242" s="15">
        <v>4.0</v>
      </c>
      <c r="F242" s="15">
        <v>1.0</v>
      </c>
      <c r="G242" s="15">
        <v>2020.0</v>
      </c>
    </row>
    <row r="243" ht="15.75" customHeight="1">
      <c r="A243" s="15" t="s">
        <v>590</v>
      </c>
      <c r="B243" s="15">
        <v>1.0</v>
      </c>
      <c r="C243" s="15">
        <v>1.0</v>
      </c>
      <c r="D243" s="15">
        <v>0.25</v>
      </c>
      <c r="E243" s="15">
        <v>12.0</v>
      </c>
      <c r="F243" s="15">
        <v>1.0</v>
      </c>
      <c r="G243" s="15">
        <v>2021.0</v>
      </c>
    </row>
    <row r="244" ht="15.75" customHeight="1">
      <c r="A244" s="15" t="s">
        <v>591</v>
      </c>
      <c r="B244" s="15">
        <v>1.0</v>
      </c>
      <c r="C244" s="15">
        <v>1.0</v>
      </c>
      <c r="D244" s="15">
        <v>0.0666666666666667</v>
      </c>
      <c r="E244" s="15">
        <v>7.0</v>
      </c>
      <c r="F244" s="15">
        <v>1.0</v>
      </c>
      <c r="G244" s="15">
        <v>2010.0</v>
      </c>
    </row>
    <row r="245" ht="15.75" customHeight="1">
      <c r="A245" s="15" t="s">
        <v>592</v>
      </c>
      <c r="B245" s="15">
        <v>1.0</v>
      </c>
      <c r="C245" s="15">
        <v>1.0</v>
      </c>
      <c r="D245" s="15">
        <v>0.25</v>
      </c>
      <c r="E245" s="15">
        <v>4.0</v>
      </c>
      <c r="F245" s="15">
        <v>1.0</v>
      </c>
      <c r="G245" s="15">
        <v>2021.0</v>
      </c>
    </row>
    <row r="246" ht="15.75" customHeight="1">
      <c r="A246" s="15" t="s">
        <v>593</v>
      </c>
      <c r="B246" s="15">
        <v>1.0</v>
      </c>
      <c r="C246" s="15">
        <v>1.0</v>
      </c>
      <c r="D246" s="15">
        <v>1.0</v>
      </c>
      <c r="E246" s="15">
        <v>5.0</v>
      </c>
      <c r="F246" s="15">
        <v>1.0</v>
      </c>
      <c r="G246" s="15">
        <v>2024.0</v>
      </c>
    </row>
    <row r="247" ht="15.75" customHeight="1">
      <c r="A247" s="15" t="s">
        <v>594</v>
      </c>
      <c r="B247" s="15">
        <v>1.0</v>
      </c>
      <c r="C247" s="15">
        <v>1.0</v>
      </c>
      <c r="D247" s="15">
        <v>0.25</v>
      </c>
      <c r="E247" s="15">
        <v>4.0</v>
      </c>
      <c r="F247" s="15">
        <v>1.0</v>
      </c>
      <c r="G247" s="15">
        <v>2021.0</v>
      </c>
    </row>
    <row r="248" ht="15.75" customHeight="1">
      <c r="A248" s="15" t="s">
        <v>595</v>
      </c>
      <c r="B248" s="15">
        <v>1.0</v>
      </c>
      <c r="C248" s="15">
        <v>1.0</v>
      </c>
      <c r="D248" s="15">
        <v>0.166666666666667</v>
      </c>
      <c r="E248" s="15">
        <v>15.0</v>
      </c>
      <c r="F248" s="15">
        <v>1.0</v>
      </c>
      <c r="G248" s="15">
        <v>2019.0</v>
      </c>
    </row>
    <row r="249" ht="15.75" customHeight="1">
      <c r="A249" s="15" t="s">
        <v>596</v>
      </c>
      <c r="B249" s="15">
        <v>1.0</v>
      </c>
      <c r="C249" s="15">
        <v>1.0</v>
      </c>
      <c r="D249" s="15">
        <v>0.166666666666667</v>
      </c>
      <c r="E249" s="15">
        <v>6.0</v>
      </c>
      <c r="F249" s="15">
        <v>1.0</v>
      </c>
      <c r="G249" s="15">
        <v>2019.0</v>
      </c>
    </row>
    <row r="250" ht="15.75" customHeight="1">
      <c r="A250" s="15" t="s">
        <v>597</v>
      </c>
      <c r="B250" s="15">
        <v>1.0</v>
      </c>
      <c r="C250" s="15">
        <v>1.0</v>
      </c>
      <c r="D250" s="15">
        <v>0.25</v>
      </c>
      <c r="E250" s="15">
        <v>20.0</v>
      </c>
      <c r="F250" s="15">
        <v>1.0</v>
      </c>
      <c r="G250" s="15">
        <v>2021.0</v>
      </c>
    </row>
    <row r="251" ht="15.75" customHeight="1">
      <c r="A251" s="15" t="s">
        <v>598</v>
      </c>
      <c r="B251" s="15">
        <v>1.0</v>
      </c>
      <c r="C251" s="15">
        <v>1.0</v>
      </c>
      <c r="D251" s="15">
        <v>0.142857142857143</v>
      </c>
      <c r="E251" s="15">
        <v>2.0</v>
      </c>
      <c r="F251" s="15">
        <v>1.0</v>
      </c>
      <c r="G251" s="15">
        <v>2018.0</v>
      </c>
    </row>
    <row r="252" ht="15.75" customHeight="1">
      <c r="A252" s="15" t="s">
        <v>599</v>
      </c>
      <c r="B252" s="15">
        <v>1.0</v>
      </c>
      <c r="C252" s="15">
        <v>1.0</v>
      </c>
      <c r="D252" s="15">
        <v>0.125</v>
      </c>
      <c r="E252" s="15">
        <v>37.0</v>
      </c>
      <c r="F252" s="15">
        <v>1.0</v>
      </c>
      <c r="G252" s="15">
        <v>2017.0</v>
      </c>
    </row>
    <row r="253" ht="15.75" customHeight="1">
      <c r="A253" s="15" t="s">
        <v>600</v>
      </c>
      <c r="B253" s="15">
        <v>1.0</v>
      </c>
      <c r="C253" s="15">
        <v>1.0</v>
      </c>
      <c r="D253" s="15">
        <v>0.1</v>
      </c>
      <c r="E253" s="15">
        <v>13.0</v>
      </c>
      <c r="F253" s="15">
        <v>1.0</v>
      </c>
      <c r="G253" s="15">
        <v>2015.0</v>
      </c>
    </row>
    <row r="254" ht="15.75" customHeight="1">
      <c r="A254" s="15" t="s">
        <v>601</v>
      </c>
      <c r="B254" s="15">
        <v>1.0</v>
      </c>
      <c r="C254" s="15">
        <v>1.0</v>
      </c>
      <c r="D254" s="15">
        <v>0.0769230769230769</v>
      </c>
      <c r="E254" s="15">
        <v>1.0</v>
      </c>
      <c r="F254" s="15">
        <v>1.0</v>
      </c>
      <c r="G254" s="15">
        <v>2012.0</v>
      </c>
    </row>
    <row r="255" ht="15.75" customHeight="1">
      <c r="A255" s="15" t="s">
        <v>602</v>
      </c>
      <c r="B255" s="15">
        <v>1.0</v>
      </c>
      <c r="C255" s="15">
        <v>1.0</v>
      </c>
      <c r="D255" s="15">
        <v>0.166666666666667</v>
      </c>
      <c r="E255" s="15">
        <v>4.0</v>
      </c>
      <c r="F255" s="15">
        <v>1.0</v>
      </c>
      <c r="G255" s="15">
        <v>2019.0</v>
      </c>
    </row>
    <row r="256" ht="15.75" customHeight="1">
      <c r="A256" s="15" t="s">
        <v>603</v>
      </c>
      <c r="B256" s="15">
        <v>1.0</v>
      </c>
      <c r="C256" s="15">
        <v>1.0</v>
      </c>
      <c r="D256" s="15">
        <v>0.2</v>
      </c>
      <c r="E256" s="15">
        <v>29.0</v>
      </c>
      <c r="F256" s="15">
        <v>1.0</v>
      </c>
      <c r="G256" s="15">
        <v>2020.0</v>
      </c>
    </row>
    <row r="257" ht="15.75" customHeight="1">
      <c r="A257" s="15" t="s">
        <v>604</v>
      </c>
      <c r="B257" s="15">
        <v>1.0</v>
      </c>
      <c r="C257" s="15">
        <v>1.0</v>
      </c>
      <c r="D257" s="15">
        <v>0.2</v>
      </c>
      <c r="E257" s="15">
        <v>2.0</v>
      </c>
      <c r="F257" s="15">
        <v>1.0</v>
      </c>
      <c r="G257" s="15">
        <v>2020.0</v>
      </c>
    </row>
    <row r="258" ht="15.75" customHeight="1">
      <c r="A258" s="15" t="s">
        <v>605</v>
      </c>
      <c r="B258" s="15">
        <v>1.0</v>
      </c>
      <c r="C258" s="15">
        <v>1.0</v>
      </c>
      <c r="D258" s="15">
        <v>0.5</v>
      </c>
      <c r="E258" s="15">
        <v>1.0</v>
      </c>
      <c r="F258" s="15">
        <v>1.0</v>
      </c>
      <c r="G258" s="15">
        <v>2023.0</v>
      </c>
    </row>
    <row r="259" ht="15.75" customHeight="1">
      <c r="A259" s="15" t="s">
        <v>606</v>
      </c>
      <c r="B259" s="15">
        <v>1.0</v>
      </c>
      <c r="C259" s="15">
        <v>1.0</v>
      </c>
      <c r="D259" s="15">
        <v>0.333333333333333</v>
      </c>
      <c r="E259" s="15">
        <v>2.0</v>
      </c>
      <c r="F259" s="15">
        <v>1.0</v>
      </c>
      <c r="G259" s="15">
        <v>2022.0</v>
      </c>
    </row>
    <row r="260" ht="15.75" customHeight="1">
      <c r="A260" s="15" t="s">
        <v>607</v>
      </c>
      <c r="B260" s="15">
        <v>1.0</v>
      </c>
      <c r="C260" s="15">
        <v>1.0</v>
      </c>
      <c r="D260" s="15">
        <v>0.0714285714285714</v>
      </c>
      <c r="E260" s="15">
        <v>33.0</v>
      </c>
      <c r="F260" s="15">
        <v>1.0</v>
      </c>
      <c r="G260" s="15">
        <v>2011.0</v>
      </c>
    </row>
    <row r="261" ht="15.75" customHeight="1">
      <c r="A261" s="15" t="s">
        <v>608</v>
      </c>
      <c r="B261" s="15">
        <v>1.0</v>
      </c>
      <c r="C261" s="15">
        <v>1.0</v>
      </c>
      <c r="D261" s="15">
        <v>0.0588235294117647</v>
      </c>
      <c r="E261" s="15">
        <v>11.0</v>
      </c>
      <c r="F261" s="15">
        <v>1.0</v>
      </c>
      <c r="G261" s="15">
        <v>2008.0</v>
      </c>
    </row>
    <row r="262" ht="15.75" customHeight="1">
      <c r="A262" s="15" t="s">
        <v>609</v>
      </c>
      <c r="B262" s="15">
        <v>1.0</v>
      </c>
      <c r="C262" s="15">
        <v>1.0</v>
      </c>
      <c r="D262" s="15">
        <v>0.0714285714285714</v>
      </c>
      <c r="E262" s="15">
        <v>23.0</v>
      </c>
      <c r="F262" s="15">
        <v>1.0</v>
      </c>
      <c r="G262" s="15">
        <v>2011.0</v>
      </c>
    </row>
    <row r="263" ht="15.75" customHeight="1">
      <c r="A263" s="15" t="s">
        <v>610</v>
      </c>
      <c r="B263" s="15">
        <v>1.0</v>
      </c>
      <c r="C263" s="15">
        <v>1.0</v>
      </c>
      <c r="D263" s="15">
        <v>0.166666666666667</v>
      </c>
      <c r="E263" s="15">
        <v>14.0</v>
      </c>
      <c r="F263" s="15">
        <v>1.0</v>
      </c>
      <c r="G263" s="15">
        <v>2019.0</v>
      </c>
    </row>
    <row r="264" ht="15.75" customHeight="1">
      <c r="A264" s="15" t="s">
        <v>611</v>
      </c>
      <c r="B264" s="15">
        <v>1.0</v>
      </c>
      <c r="C264" s="15">
        <v>1.0</v>
      </c>
      <c r="D264" s="15">
        <v>0.5</v>
      </c>
      <c r="E264" s="15">
        <v>1.0</v>
      </c>
      <c r="F264" s="15">
        <v>1.0</v>
      </c>
      <c r="G264" s="15">
        <v>2023.0</v>
      </c>
    </row>
    <row r="265" ht="15.75" customHeight="1">
      <c r="A265" s="15" t="s">
        <v>612</v>
      </c>
      <c r="B265" s="15">
        <v>1.0</v>
      </c>
      <c r="C265" s="15">
        <v>1.0</v>
      </c>
      <c r="D265" s="15">
        <v>0.142857142857143</v>
      </c>
      <c r="E265" s="15">
        <v>2.0</v>
      </c>
      <c r="F265" s="15">
        <v>1.0</v>
      </c>
      <c r="G265" s="15">
        <v>2018.0</v>
      </c>
    </row>
    <row r="266" ht="15.75" customHeight="1">
      <c r="A266" s="15" t="s">
        <v>613</v>
      </c>
      <c r="B266" s="15">
        <v>1.0</v>
      </c>
      <c r="C266" s="15">
        <v>1.0</v>
      </c>
      <c r="D266" s="15">
        <v>0.2</v>
      </c>
      <c r="E266" s="15">
        <v>14.0</v>
      </c>
      <c r="F266" s="15">
        <v>1.0</v>
      </c>
      <c r="G266" s="15">
        <v>2020.0</v>
      </c>
    </row>
    <row r="267" ht="15.75" customHeight="1">
      <c r="A267" s="15" t="s">
        <v>614</v>
      </c>
      <c r="B267" s="15">
        <v>1.0</v>
      </c>
      <c r="C267" s="15">
        <v>1.0</v>
      </c>
      <c r="D267" s="15">
        <v>1.0</v>
      </c>
      <c r="E267" s="15">
        <v>5.0</v>
      </c>
      <c r="F267" s="15">
        <v>1.0</v>
      </c>
      <c r="G267" s="15">
        <v>2024.0</v>
      </c>
    </row>
    <row r="268" ht="15.75" customHeight="1">
      <c r="A268" s="15" t="s">
        <v>615</v>
      </c>
      <c r="B268" s="15">
        <v>1.0</v>
      </c>
      <c r="C268" s="15">
        <v>1.0</v>
      </c>
      <c r="D268" s="15">
        <v>0.2</v>
      </c>
      <c r="E268" s="15">
        <v>19.0</v>
      </c>
      <c r="F268" s="15">
        <v>1.0</v>
      </c>
      <c r="G268" s="15">
        <v>2020.0</v>
      </c>
    </row>
    <row r="269" ht="15.75" customHeight="1">
      <c r="A269" s="15" t="s">
        <v>616</v>
      </c>
      <c r="B269" s="15">
        <v>1.0</v>
      </c>
      <c r="C269" s="15">
        <v>1.0</v>
      </c>
      <c r="D269" s="15">
        <v>0.5</v>
      </c>
      <c r="E269" s="15">
        <v>5.0</v>
      </c>
      <c r="F269" s="15">
        <v>1.0</v>
      </c>
      <c r="G269" s="15">
        <v>2023.0</v>
      </c>
    </row>
    <row r="270" ht="15.75" customHeight="1">
      <c r="A270" s="15" t="s">
        <v>617</v>
      </c>
      <c r="B270" s="15">
        <v>1.0</v>
      </c>
      <c r="C270" s="15">
        <v>1.0</v>
      </c>
      <c r="D270" s="15">
        <v>0.333333333333333</v>
      </c>
      <c r="E270" s="15">
        <v>1.0</v>
      </c>
      <c r="F270" s="15">
        <v>1.0</v>
      </c>
      <c r="G270" s="15">
        <v>2022.0</v>
      </c>
    </row>
    <row r="271" ht="15.75" customHeight="1">
      <c r="A271" s="15" t="s">
        <v>618</v>
      </c>
      <c r="B271" s="15">
        <v>1.0</v>
      </c>
      <c r="C271" s="15">
        <v>1.0</v>
      </c>
      <c r="D271" s="15">
        <v>1.0</v>
      </c>
      <c r="E271" s="15">
        <v>2.0</v>
      </c>
      <c r="F271" s="15">
        <v>1.0</v>
      </c>
      <c r="G271" s="15">
        <v>2024.0</v>
      </c>
    </row>
    <row r="272" ht="15.75" customHeight="1">
      <c r="A272" s="15" t="s">
        <v>619</v>
      </c>
      <c r="B272" s="15">
        <v>1.0</v>
      </c>
      <c r="C272" s="15">
        <v>1.0</v>
      </c>
      <c r="D272" s="15">
        <v>0.25</v>
      </c>
      <c r="E272" s="15">
        <v>30.0</v>
      </c>
      <c r="F272" s="15">
        <v>1.0</v>
      </c>
      <c r="G272" s="15">
        <v>2021.0</v>
      </c>
    </row>
    <row r="273" ht="15.75" customHeight="1">
      <c r="A273" s="15" t="s">
        <v>620</v>
      </c>
      <c r="B273" s="15">
        <v>1.0</v>
      </c>
      <c r="C273" s="15">
        <v>1.0</v>
      </c>
      <c r="D273" s="15">
        <v>0.5</v>
      </c>
      <c r="E273" s="15">
        <v>5.0</v>
      </c>
      <c r="F273" s="15">
        <v>1.0</v>
      </c>
      <c r="G273" s="15">
        <v>2023.0</v>
      </c>
    </row>
    <row r="274" ht="15.75" customHeight="1">
      <c r="A274" s="15" t="s">
        <v>621</v>
      </c>
      <c r="B274" s="15">
        <v>1.0</v>
      </c>
      <c r="C274" s="15">
        <v>1.0</v>
      </c>
      <c r="D274" s="15">
        <v>1.0</v>
      </c>
      <c r="E274" s="15">
        <v>2.0</v>
      </c>
      <c r="F274" s="15">
        <v>1.0</v>
      </c>
      <c r="G274" s="15">
        <v>2024.0</v>
      </c>
    </row>
    <row r="275" ht="15.75" customHeight="1">
      <c r="A275" s="15" t="s">
        <v>622</v>
      </c>
      <c r="B275" s="15">
        <v>1.0</v>
      </c>
      <c r="C275" s="15">
        <v>1.0</v>
      </c>
      <c r="D275" s="15">
        <v>0.333333333333333</v>
      </c>
      <c r="E275" s="15">
        <v>4.0</v>
      </c>
      <c r="F275" s="15">
        <v>1.0</v>
      </c>
      <c r="G275" s="15">
        <v>2022.0</v>
      </c>
    </row>
    <row r="276" ht="15.75" customHeight="1">
      <c r="A276" s="15" t="s">
        <v>623</v>
      </c>
      <c r="B276" s="15">
        <v>1.0</v>
      </c>
      <c r="C276" s="15">
        <v>1.0</v>
      </c>
      <c r="D276" s="15">
        <v>0.25</v>
      </c>
      <c r="E276" s="15">
        <v>2.0</v>
      </c>
      <c r="F276" s="15">
        <v>1.0</v>
      </c>
      <c r="G276" s="15">
        <v>2021.0</v>
      </c>
    </row>
    <row r="277" ht="15.75" customHeight="1">
      <c r="A277" s="15" t="s">
        <v>624</v>
      </c>
      <c r="B277" s="15">
        <v>1.0</v>
      </c>
      <c r="C277" s="15">
        <v>1.0</v>
      </c>
      <c r="D277" s="15">
        <v>0.0769230769230769</v>
      </c>
      <c r="E277" s="15">
        <v>4.0</v>
      </c>
      <c r="F277" s="15">
        <v>1.0</v>
      </c>
      <c r="G277" s="15">
        <v>2012.0</v>
      </c>
    </row>
    <row r="278" ht="15.75" customHeight="1">
      <c r="A278" s="15" t="s">
        <v>625</v>
      </c>
      <c r="B278" s="15">
        <v>1.0</v>
      </c>
      <c r="C278" s="15">
        <v>1.0</v>
      </c>
      <c r="D278" s="15">
        <v>0.142857142857143</v>
      </c>
      <c r="E278" s="15">
        <v>12.0</v>
      </c>
      <c r="F278" s="15">
        <v>1.0</v>
      </c>
      <c r="G278" s="15">
        <v>2018.0</v>
      </c>
    </row>
    <row r="279" ht="15.75" customHeight="1">
      <c r="A279" s="15" t="s">
        <v>626</v>
      </c>
      <c r="B279" s="15">
        <v>1.0</v>
      </c>
      <c r="C279" s="15">
        <v>1.0</v>
      </c>
      <c r="D279" s="15">
        <v>0.2</v>
      </c>
      <c r="E279" s="15">
        <v>2.0</v>
      </c>
      <c r="F279" s="15">
        <v>1.0</v>
      </c>
      <c r="G279" s="15">
        <v>2020.0</v>
      </c>
    </row>
    <row r="280" ht="15.75" customHeight="1">
      <c r="A280" s="15" t="s">
        <v>627</v>
      </c>
      <c r="B280" s="15">
        <v>1.0</v>
      </c>
      <c r="C280" s="15">
        <v>1.0</v>
      </c>
      <c r="D280" s="15">
        <v>0.333333333333333</v>
      </c>
      <c r="E280" s="15">
        <v>13.0</v>
      </c>
      <c r="F280" s="15">
        <v>1.0</v>
      </c>
      <c r="G280" s="15">
        <v>2022.0</v>
      </c>
    </row>
    <row r="281" ht="15.75" customHeight="1">
      <c r="A281" s="15" t="s">
        <v>628</v>
      </c>
      <c r="B281" s="15">
        <v>1.0</v>
      </c>
      <c r="C281" s="15">
        <v>1.0</v>
      </c>
      <c r="D281" s="15">
        <v>0.142857142857143</v>
      </c>
      <c r="E281" s="15">
        <v>1.0</v>
      </c>
      <c r="F281" s="15">
        <v>1.0</v>
      </c>
      <c r="G281" s="15">
        <v>2018.0</v>
      </c>
    </row>
    <row r="282" ht="15.75" customHeight="1">
      <c r="A282" s="15" t="s">
        <v>629</v>
      </c>
      <c r="B282" s="15">
        <v>1.0</v>
      </c>
      <c r="C282" s="15">
        <v>1.0</v>
      </c>
      <c r="D282" s="15">
        <v>1.0</v>
      </c>
      <c r="E282" s="15">
        <v>5.0</v>
      </c>
      <c r="F282" s="15">
        <v>1.0</v>
      </c>
      <c r="G282" s="15">
        <v>2024.0</v>
      </c>
    </row>
    <row r="283" ht="15.75" customHeight="1">
      <c r="A283" s="15" t="s">
        <v>630</v>
      </c>
      <c r="B283" s="15">
        <v>1.0</v>
      </c>
      <c r="C283" s="15">
        <v>1.0</v>
      </c>
      <c r="D283" s="15">
        <v>0.2</v>
      </c>
      <c r="E283" s="15">
        <v>2.0</v>
      </c>
      <c r="F283" s="15">
        <v>1.0</v>
      </c>
      <c r="G283" s="15">
        <v>2020.0</v>
      </c>
    </row>
    <row r="284" ht="15.75" customHeight="1">
      <c r="A284" s="15" t="s">
        <v>631</v>
      </c>
      <c r="B284" s="15">
        <v>1.0</v>
      </c>
      <c r="C284" s="15">
        <v>1.0</v>
      </c>
      <c r="D284" s="15">
        <v>0.25</v>
      </c>
      <c r="E284" s="15">
        <v>3.0</v>
      </c>
      <c r="F284" s="15">
        <v>1.0</v>
      </c>
      <c r="G284" s="15">
        <v>2021.0</v>
      </c>
    </row>
    <row r="285" ht="15.75" customHeight="1">
      <c r="A285" s="15" t="s">
        <v>632</v>
      </c>
      <c r="B285" s="15">
        <v>1.0</v>
      </c>
      <c r="C285" s="15">
        <v>1.0</v>
      </c>
      <c r="D285" s="15">
        <v>0.125</v>
      </c>
      <c r="E285" s="15">
        <v>2.0</v>
      </c>
      <c r="F285" s="15">
        <v>1.0</v>
      </c>
      <c r="G285" s="15">
        <v>2017.0</v>
      </c>
    </row>
    <row r="286" ht="15.75" customHeight="1">
      <c r="A286" s="15" t="s">
        <v>633</v>
      </c>
      <c r="B286" s="15">
        <v>1.0</v>
      </c>
      <c r="C286" s="15">
        <v>1.0</v>
      </c>
      <c r="D286" s="15">
        <v>0.25</v>
      </c>
      <c r="E286" s="15">
        <v>23.0</v>
      </c>
      <c r="F286" s="15">
        <v>1.0</v>
      </c>
      <c r="G286" s="15">
        <v>2021.0</v>
      </c>
    </row>
    <row r="287" ht="15.75" customHeight="1">
      <c r="A287" s="15" t="s">
        <v>634</v>
      </c>
      <c r="B287" s="15">
        <v>1.0</v>
      </c>
      <c r="C287" s="15">
        <v>1.0</v>
      </c>
      <c r="D287" s="15">
        <v>0.166666666666667</v>
      </c>
      <c r="E287" s="15">
        <v>12.0</v>
      </c>
      <c r="F287" s="15">
        <v>1.0</v>
      </c>
      <c r="G287" s="15">
        <v>2019.0</v>
      </c>
    </row>
    <row r="288" ht="15.75" customHeight="1">
      <c r="A288" s="15" t="s">
        <v>635</v>
      </c>
      <c r="B288" s="15">
        <v>1.0</v>
      </c>
      <c r="C288" s="15">
        <v>1.0</v>
      </c>
      <c r="D288" s="15">
        <v>0.1</v>
      </c>
      <c r="E288" s="15">
        <v>14.0</v>
      </c>
      <c r="F288" s="15">
        <v>1.0</v>
      </c>
      <c r="G288" s="15">
        <v>2015.0</v>
      </c>
    </row>
    <row r="289" ht="15.75" customHeight="1">
      <c r="A289" s="15" t="s">
        <v>636</v>
      </c>
      <c r="B289" s="15">
        <v>1.0</v>
      </c>
      <c r="C289" s="15">
        <v>1.0</v>
      </c>
      <c r="D289" s="15">
        <v>0.142857142857143</v>
      </c>
      <c r="E289" s="15">
        <v>1.0</v>
      </c>
      <c r="F289" s="15">
        <v>1.0</v>
      </c>
      <c r="G289" s="15">
        <v>2018.0</v>
      </c>
    </row>
    <row r="290" ht="15.75" customHeight="1">
      <c r="A290" s="15" t="s">
        <v>637</v>
      </c>
      <c r="B290" s="15">
        <v>1.0</v>
      </c>
      <c r="C290" s="15">
        <v>1.0</v>
      </c>
      <c r="D290" s="15">
        <v>0.5</v>
      </c>
      <c r="E290" s="15">
        <v>2.0</v>
      </c>
      <c r="F290" s="15">
        <v>1.0</v>
      </c>
      <c r="G290" s="15">
        <v>2023.0</v>
      </c>
    </row>
    <row r="291" ht="15.75" customHeight="1">
      <c r="A291" s="15" t="s">
        <v>638</v>
      </c>
      <c r="B291" s="15">
        <v>1.0</v>
      </c>
      <c r="C291" s="15">
        <v>1.0</v>
      </c>
      <c r="D291" s="15">
        <v>0.333333333333333</v>
      </c>
      <c r="E291" s="15">
        <v>3.0</v>
      </c>
      <c r="F291" s="15">
        <v>1.0</v>
      </c>
      <c r="G291" s="15">
        <v>2022.0</v>
      </c>
    </row>
    <row r="292" ht="15.75" customHeight="1">
      <c r="A292" s="15" t="s">
        <v>639</v>
      </c>
      <c r="B292" s="15">
        <v>1.0</v>
      </c>
      <c r="C292" s="15">
        <v>1.0</v>
      </c>
      <c r="D292" s="15">
        <v>0.142857142857143</v>
      </c>
      <c r="E292" s="15">
        <v>4.0</v>
      </c>
      <c r="F292" s="15">
        <v>1.0</v>
      </c>
      <c r="G292" s="15">
        <v>2018.0</v>
      </c>
    </row>
    <row r="293" ht="15.75" customHeight="1">
      <c r="A293" s="15" t="s">
        <v>640</v>
      </c>
      <c r="B293" s="15">
        <v>1.0</v>
      </c>
      <c r="C293" s="15">
        <v>1.0</v>
      </c>
      <c r="D293" s="15">
        <v>0.25</v>
      </c>
      <c r="E293" s="15">
        <v>43.0</v>
      </c>
      <c r="F293" s="15">
        <v>1.0</v>
      </c>
      <c r="G293" s="15">
        <v>2021.0</v>
      </c>
    </row>
    <row r="294" ht="15.75" customHeight="1">
      <c r="A294" s="15" t="s">
        <v>641</v>
      </c>
      <c r="B294" s="15">
        <v>1.0</v>
      </c>
      <c r="C294" s="15">
        <v>1.0</v>
      </c>
      <c r="D294" s="15">
        <v>0.1</v>
      </c>
      <c r="E294" s="15">
        <v>13.0</v>
      </c>
      <c r="F294" s="15">
        <v>1.0</v>
      </c>
      <c r="G294" s="15">
        <v>2015.0</v>
      </c>
    </row>
    <row r="295" ht="15.75" customHeight="1">
      <c r="A295" s="15" t="s">
        <v>642</v>
      </c>
      <c r="B295" s="15">
        <v>1.0</v>
      </c>
      <c r="C295" s="15">
        <v>1.0</v>
      </c>
      <c r="D295" s="15">
        <v>0.125</v>
      </c>
      <c r="E295" s="15">
        <v>23.0</v>
      </c>
      <c r="F295" s="15">
        <v>1.0</v>
      </c>
      <c r="G295" s="15">
        <v>2017.0</v>
      </c>
    </row>
    <row r="296" ht="15.75" customHeight="1">
      <c r="A296" s="15" t="s">
        <v>643</v>
      </c>
      <c r="B296" s="15">
        <v>1.0</v>
      </c>
      <c r="C296" s="15">
        <v>1.0</v>
      </c>
      <c r="D296" s="15">
        <v>0.2</v>
      </c>
      <c r="E296" s="15">
        <v>5.0</v>
      </c>
      <c r="F296" s="15">
        <v>1.0</v>
      </c>
      <c r="G296" s="15">
        <v>2020.0</v>
      </c>
    </row>
    <row r="297" ht="15.75" customHeight="1">
      <c r="A297" s="15" t="s">
        <v>644</v>
      </c>
      <c r="B297" s="15">
        <v>1.0</v>
      </c>
      <c r="C297" s="15">
        <v>1.0</v>
      </c>
      <c r="D297" s="15">
        <v>0.2</v>
      </c>
      <c r="E297" s="15">
        <v>18.0</v>
      </c>
      <c r="F297" s="15">
        <v>1.0</v>
      </c>
      <c r="G297" s="15">
        <v>2020.0</v>
      </c>
    </row>
    <row r="298" ht="15.75" customHeight="1">
      <c r="A298" s="15" t="s">
        <v>645</v>
      </c>
      <c r="B298" s="15">
        <v>1.0</v>
      </c>
      <c r="C298" s="15">
        <v>1.0</v>
      </c>
      <c r="D298" s="15">
        <v>0.2</v>
      </c>
      <c r="E298" s="15">
        <v>2.0</v>
      </c>
      <c r="F298" s="15">
        <v>1.0</v>
      </c>
      <c r="G298" s="15">
        <v>2020.0</v>
      </c>
    </row>
    <row r="299" ht="15.75" customHeight="1">
      <c r="A299" s="15" t="s">
        <v>646</v>
      </c>
      <c r="B299" s="15">
        <v>1.0</v>
      </c>
      <c r="C299" s="15">
        <v>1.0</v>
      </c>
      <c r="D299" s="15">
        <v>1.0</v>
      </c>
      <c r="E299" s="15">
        <v>5.0</v>
      </c>
      <c r="F299" s="15">
        <v>1.0</v>
      </c>
      <c r="G299" s="15">
        <v>2024.0</v>
      </c>
    </row>
    <row r="300" ht="15.75" customHeight="1">
      <c r="A300" s="15" t="s">
        <v>647</v>
      </c>
      <c r="B300" s="15">
        <v>1.0</v>
      </c>
      <c r="C300" s="15">
        <v>1.0</v>
      </c>
      <c r="D300" s="15">
        <v>0.142857142857143</v>
      </c>
      <c r="E300" s="15">
        <v>2.0</v>
      </c>
      <c r="F300" s="15">
        <v>1.0</v>
      </c>
      <c r="G300" s="15">
        <v>2018.0</v>
      </c>
    </row>
    <row r="301" ht="15.75" customHeight="1">
      <c r="A301" s="15" t="s">
        <v>648</v>
      </c>
      <c r="B301" s="15">
        <v>1.0</v>
      </c>
      <c r="C301" s="15">
        <v>1.0</v>
      </c>
      <c r="D301" s="15">
        <v>0.333333333333333</v>
      </c>
      <c r="E301" s="15">
        <v>7.0</v>
      </c>
      <c r="F301" s="15">
        <v>1.0</v>
      </c>
      <c r="G301" s="15">
        <v>2022.0</v>
      </c>
    </row>
    <row r="302" ht="15.75" customHeight="1">
      <c r="A302" s="15" t="s">
        <v>649</v>
      </c>
      <c r="B302" s="15">
        <v>1.0</v>
      </c>
      <c r="C302" s="15">
        <v>1.0</v>
      </c>
      <c r="D302" s="15">
        <v>0.333333333333333</v>
      </c>
      <c r="E302" s="15">
        <v>3.0</v>
      </c>
      <c r="F302" s="15">
        <v>1.0</v>
      </c>
      <c r="G302" s="15">
        <v>2022.0</v>
      </c>
    </row>
    <row r="303" ht="15.75" customHeight="1">
      <c r="A303" s="15" t="s">
        <v>650</v>
      </c>
      <c r="B303" s="15">
        <v>1.0</v>
      </c>
      <c r="C303" s="15">
        <v>1.0</v>
      </c>
      <c r="D303" s="15">
        <v>0.166666666666667</v>
      </c>
      <c r="E303" s="15">
        <v>4.0</v>
      </c>
      <c r="F303" s="15">
        <v>1.0</v>
      </c>
      <c r="G303" s="15">
        <v>2019.0</v>
      </c>
    </row>
    <row r="304" ht="15.75" customHeight="1">
      <c r="A304" s="15" t="s">
        <v>651</v>
      </c>
      <c r="B304" s="15">
        <v>1.0</v>
      </c>
      <c r="C304" s="15">
        <v>1.0</v>
      </c>
      <c r="D304" s="15">
        <v>0.0526315789473684</v>
      </c>
      <c r="E304" s="15">
        <v>8.0</v>
      </c>
      <c r="F304" s="15">
        <v>1.0</v>
      </c>
      <c r="G304" s="15">
        <v>2006.0</v>
      </c>
    </row>
    <row r="305" ht="15.75" customHeight="1">
      <c r="A305" s="15" t="s">
        <v>652</v>
      </c>
      <c r="B305" s="15">
        <v>1.0</v>
      </c>
      <c r="C305" s="15">
        <v>1.0</v>
      </c>
      <c r="D305" s="15">
        <v>0.2</v>
      </c>
      <c r="E305" s="15">
        <v>2.0</v>
      </c>
      <c r="F305" s="15">
        <v>1.0</v>
      </c>
      <c r="G305" s="15">
        <v>2020.0</v>
      </c>
    </row>
    <row r="306" ht="15.75" customHeight="1">
      <c r="A306" s="15" t="s">
        <v>653</v>
      </c>
      <c r="B306" s="15">
        <v>1.0</v>
      </c>
      <c r="C306" s="15">
        <v>1.0</v>
      </c>
      <c r="D306" s="15">
        <v>0.25</v>
      </c>
      <c r="E306" s="15">
        <v>30.0</v>
      </c>
      <c r="F306" s="15">
        <v>1.0</v>
      </c>
      <c r="G306" s="15">
        <v>2021.0</v>
      </c>
    </row>
    <row r="307" ht="15.75" customHeight="1">
      <c r="A307" s="15" t="s">
        <v>654</v>
      </c>
      <c r="B307" s="15">
        <v>1.0</v>
      </c>
      <c r="C307" s="15">
        <v>1.0</v>
      </c>
      <c r="D307" s="15">
        <v>0.1</v>
      </c>
      <c r="E307" s="15">
        <v>1.0</v>
      </c>
      <c r="F307" s="15">
        <v>1.0</v>
      </c>
      <c r="G307" s="15">
        <v>2015.0</v>
      </c>
    </row>
    <row r="308" ht="15.75" customHeight="1">
      <c r="A308" s="15" t="s">
        <v>655</v>
      </c>
      <c r="B308" s="15">
        <v>1.0</v>
      </c>
      <c r="C308" s="15">
        <v>1.0</v>
      </c>
      <c r="D308" s="15">
        <v>0.1</v>
      </c>
      <c r="E308" s="15">
        <v>1.0</v>
      </c>
      <c r="F308" s="15">
        <v>1.0</v>
      </c>
      <c r="G308" s="15">
        <v>2015.0</v>
      </c>
    </row>
    <row r="309" ht="15.75" customHeight="1">
      <c r="A309" s="15" t="s">
        <v>656</v>
      </c>
      <c r="B309" s="15">
        <v>1.0</v>
      </c>
      <c r="C309" s="15">
        <v>1.0</v>
      </c>
      <c r="D309" s="15">
        <v>0.333333333333333</v>
      </c>
      <c r="E309" s="15">
        <v>10.0</v>
      </c>
      <c r="F309" s="15">
        <v>1.0</v>
      </c>
      <c r="G309" s="15">
        <v>2022.0</v>
      </c>
    </row>
    <row r="310" ht="15.75" customHeight="1">
      <c r="A310" s="15" t="s">
        <v>657</v>
      </c>
      <c r="B310" s="15">
        <v>1.0</v>
      </c>
      <c r="C310" s="15">
        <v>1.0</v>
      </c>
      <c r="D310" s="15">
        <v>0.333333333333333</v>
      </c>
      <c r="E310" s="15">
        <v>6.0</v>
      </c>
      <c r="F310" s="15">
        <v>1.0</v>
      </c>
      <c r="G310" s="15">
        <v>2022.0</v>
      </c>
    </row>
    <row r="311" ht="15.75" customHeight="1">
      <c r="A311" s="15" t="s">
        <v>658</v>
      </c>
      <c r="B311" s="15">
        <v>1.0</v>
      </c>
      <c r="C311" s="15">
        <v>1.0</v>
      </c>
      <c r="D311" s="15">
        <v>0.25</v>
      </c>
      <c r="E311" s="15">
        <v>1.0</v>
      </c>
      <c r="F311" s="15">
        <v>1.0</v>
      </c>
      <c r="G311" s="15">
        <v>2021.0</v>
      </c>
    </row>
    <row r="312" ht="15.75" customHeight="1">
      <c r="A312" s="15" t="s">
        <v>659</v>
      </c>
      <c r="B312" s="15">
        <v>1.0</v>
      </c>
      <c r="C312" s="15">
        <v>1.0</v>
      </c>
      <c r="D312" s="15">
        <v>1.0</v>
      </c>
      <c r="E312" s="15">
        <v>2.0</v>
      </c>
      <c r="F312" s="15">
        <v>1.0</v>
      </c>
      <c r="G312" s="15">
        <v>2024.0</v>
      </c>
    </row>
    <row r="313" ht="15.75" customHeight="1">
      <c r="A313" s="15" t="s">
        <v>660</v>
      </c>
      <c r="B313" s="15">
        <v>1.0</v>
      </c>
      <c r="C313" s="15">
        <v>1.0</v>
      </c>
      <c r="D313" s="15">
        <v>0.0769230769230769</v>
      </c>
      <c r="E313" s="15">
        <v>5.0</v>
      </c>
      <c r="F313" s="15">
        <v>1.0</v>
      </c>
      <c r="G313" s="15">
        <v>2012.0</v>
      </c>
    </row>
    <row r="314" ht="15.75" customHeight="1">
      <c r="A314" s="15" t="s">
        <v>661</v>
      </c>
      <c r="B314" s="15">
        <v>1.0</v>
      </c>
      <c r="C314" s="15">
        <v>1.0</v>
      </c>
      <c r="D314" s="15">
        <v>0.125</v>
      </c>
      <c r="E314" s="15">
        <v>29.0</v>
      </c>
      <c r="F314" s="15">
        <v>1.0</v>
      </c>
      <c r="G314" s="15">
        <v>2017.0</v>
      </c>
    </row>
    <row r="315" ht="15.75" customHeight="1">
      <c r="A315" s="15" t="s">
        <v>662</v>
      </c>
      <c r="B315" s="15">
        <v>1.0</v>
      </c>
      <c r="C315" s="15">
        <v>1.0</v>
      </c>
      <c r="D315" s="15">
        <v>0.25</v>
      </c>
      <c r="E315" s="15">
        <v>2.0</v>
      </c>
      <c r="F315" s="15">
        <v>1.0</v>
      </c>
      <c r="G315" s="15">
        <v>2021.0</v>
      </c>
    </row>
    <row r="316" ht="15.75" customHeight="1">
      <c r="A316" s="15" t="s">
        <v>663</v>
      </c>
      <c r="B316" s="15">
        <v>1.0</v>
      </c>
      <c r="C316" s="15">
        <v>1.0</v>
      </c>
      <c r="D316" s="15">
        <v>0.142857142857143</v>
      </c>
      <c r="E316" s="15">
        <v>2.0</v>
      </c>
      <c r="F316" s="15">
        <v>1.0</v>
      </c>
      <c r="G316" s="15">
        <v>2018.0</v>
      </c>
    </row>
    <row r="317" ht="15.75" customHeight="1">
      <c r="A317" s="15" t="s">
        <v>664</v>
      </c>
      <c r="B317" s="15">
        <v>1.0</v>
      </c>
      <c r="C317" s="15">
        <v>1.0</v>
      </c>
      <c r="D317" s="15">
        <v>0.0909090909090909</v>
      </c>
      <c r="E317" s="15">
        <v>376.0</v>
      </c>
      <c r="F317" s="15">
        <v>1.0</v>
      </c>
      <c r="G317" s="15">
        <v>2014.0</v>
      </c>
    </row>
    <row r="318" ht="15.75" customHeight="1">
      <c r="A318" s="15" t="s">
        <v>665</v>
      </c>
      <c r="B318" s="15">
        <v>1.0</v>
      </c>
      <c r="C318" s="15">
        <v>1.0</v>
      </c>
      <c r="D318" s="15">
        <v>0.2</v>
      </c>
      <c r="E318" s="15">
        <v>3.0</v>
      </c>
      <c r="F318" s="15">
        <v>1.0</v>
      </c>
      <c r="G318" s="15">
        <v>2020.0</v>
      </c>
    </row>
    <row r="319" ht="15.75" customHeight="1">
      <c r="A319" s="15" t="s">
        <v>666</v>
      </c>
      <c r="B319" s="15">
        <v>1.0</v>
      </c>
      <c r="C319" s="15">
        <v>1.0</v>
      </c>
      <c r="D319" s="15">
        <v>0.2</v>
      </c>
      <c r="E319" s="15">
        <v>19.0</v>
      </c>
      <c r="F319" s="15">
        <v>1.0</v>
      </c>
      <c r="G319" s="15">
        <v>2020.0</v>
      </c>
    </row>
    <row r="320" ht="15.75" customHeight="1">
      <c r="A320" s="15" t="s">
        <v>667</v>
      </c>
      <c r="B320" s="15">
        <v>1.0</v>
      </c>
      <c r="C320" s="15">
        <v>1.0</v>
      </c>
      <c r="D320" s="15">
        <v>1.0</v>
      </c>
      <c r="E320" s="15">
        <v>2.0</v>
      </c>
      <c r="F320" s="15">
        <v>1.0</v>
      </c>
      <c r="G320" s="15">
        <v>2024.0</v>
      </c>
    </row>
    <row r="321" ht="15.75" customHeight="1">
      <c r="A321" s="15" t="s">
        <v>668</v>
      </c>
      <c r="B321" s="15">
        <v>1.0</v>
      </c>
      <c r="C321" s="15">
        <v>1.0</v>
      </c>
      <c r="D321" s="15">
        <v>0.333333333333333</v>
      </c>
      <c r="E321" s="15">
        <v>29.0</v>
      </c>
      <c r="F321" s="15">
        <v>1.0</v>
      </c>
      <c r="G321" s="15">
        <v>2022.0</v>
      </c>
    </row>
    <row r="322" ht="15.75" customHeight="1">
      <c r="A322" s="15" t="s">
        <v>669</v>
      </c>
      <c r="B322" s="15">
        <v>1.0</v>
      </c>
      <c r="C322" s="15">
        <v>1.0</v>
      </c>
      <c r="D322" s="15">
        <v>0.333333333333333</v>
      </c>
      <c r="E322" s="15">
        <v>29.0</v>
      </c>
      <c r="F322" s="15">
        <v>1.0</v>
      </c>
      <c r="G322" s="15">
        <v>2022.0</v>
      </c>
    </row>
    <row r="323" ht="15.75" customHeight="1">
      <c r="A323" s="15" t="s">
        <v>670</v>
      </c>
      <c r="B323" s="15">
        <v>1.0</v>
      </c>
      <c r="C323" s="15">
        <v>1.0</v>
      </c>
      <c r="D323" s="15">
        <v>0.0833333333333333</v>
      </c>
      <c r="E323" s="15">
        <v>5.0</v>
      </c>
      <c r="F323" s="15">
        <v>1.0</v>
      </c>
      <c r="G323" s="15">
        <v>2013.0</v>
      </c>
    </row>
    <row r="324" ht="15.75" customHeight="1">
      <c r="A324" s="15" t="s">
        <v>671</v>
      </c>
      <c r="B324" s="15">
        <v>1.0</v>
      </c>
      <c r="C324" s="15">
        <v>1.0</v>
      </c>
      <c r="D324" s="15">
        <v>0.142857142857143</v>
      </c>
      <c r="E324" s="15">
        <v>41.0</v>
      </c>
      <c r="F324" s="15">
        <v>1.0</v>
      </c>
      <c r="G324" s="15">
        <v>2018.0</v>
      </c>
    </row>
    <row r="325" ht="15.75" customHeight="1">
      <c r="A325" s="15" t="s">
        <v>672</v>
      </c>
      <c r="B325" s="15">
        <v>1.0</v>
      </c>
      <c r="C325" s="15">
        <v>1.0</v>
      </c>
      <c r="D325" s="15">
        <v>0.333333333333333</v>
      </c>
      <c r="E325" s="15">
        <v>7.0</v>
      </c>
      <c r="F325" s="15">
        <v>1.0</v>
      </c>
      <c r="G325" s="15">
        <v>2022.0</v>
      </c>
    </row>
    <row r="326" ht="15.75" customHeight="1">
      <c r="A326" s="15" t="s">
        <v>673</v>
      </c>
      <c r="B326" s="15">
        <v>1.0</v>
      </c>
      <c r="C326" s="15">
        <v>1.0</v>
      </c>
      <c r="D326" s="15">
        <v>0.25</v>
      </c>
      <c r="E326" s="15">
        <v>12.0</v>
      </c>
      <c r="F326" s="15">
        <v>1.0</v>
      </c>
      <c r="G326" s="15">
        <v>2021.0</v>
      </c>
    </row>
    <row r="327" ht="15.75" customHeight="1">
      <c r="A327" s="15" t="s">
        <v>674</v>
      </c>
      <c r="B327" s="15">
        <v>1.0</v>
      </c>
      <c r="C327" s="15">
        <v>1.0</v>
      </c>
      <c r="D327" s="15">
        <v>0.25</v>
      </c>
      <c r="E327" s="15">
        <v>6.0</v>
      </c>
      <c r="F327" s="15">
        <v>1.0</v>
      </c>
      <c r="G327" s="15">
        <v>2021.0</v>
      </c>
    </row>
    <row r="328" ht="15.75" customHeight="1">
      <c r="A328" s="15" t="s">
        <v>675</v>
      </c>
      <c r="B328" s="15">
        <v>1.0</v>
      </c>
      <c r="C328" s="15">
        <v>1.0</v>
      </c>
      <c r="D328" s="15">
        <v>0.2</v>
      </c>
      <c r="E328" s="15">
        <v>51.0</v>
      </c>
      <c r="F328" s="15">
        <v>1.0</v>
      </c>
      <c r="G328" s="15">
        <v>2020.0</v>
      </c>
    </row>
    <row r="329" ht="15.75" customHeight="1">
      <c r="A329" s="15" t="s">
        <v>676</v>
      </c>
      <c r="B329" s="15">
        <v>1.0</v>
      </c>
      <c r="C329" s="15">
        <v>1.0</v>
      </c>
      <c r="D329" s="15">
        <v>0.5</v>
      </c>
      <c r="E329" s="15">
        <v>1.0</v>
      </c>
      <c r="F329" s="15">
        <v>1.0</v>
      </c>
      <c r="G329" s="15">
        <v>2023.0</v>
      </c>
    </row>
    <row r="330" ht="15.75" customHeight="1">
      <c r="A330" s="15" t="s">
        <v>677</v>
      </c>
      <c r="B330" s="15">
        <v>1.0</v>
      </c>
      <c r="C330" s="15">
        <v>1.0</v>
      </c>
      <c r="D330" s="15">
        <v>1.0</v>
      </c>
      <c r="E330" s="15">
        <v>11.0</v>
      </c>
      <c r="F330" s="15">
        <v>1.0</v>
      </c>
      <c r="G330" s="15">
        <v>2024.0</v>
      </c>
    </row>
    <row r="331" ht="15.75" customHeight="1">
      <c r="A331" s="15" t="s">
        <v>678</v>
      </c>
      <c r="B331" s="15">
        <v>1.0</v>
      </c>
      <c r="C331" s="15">
        <v>1.0</v>
      </c>
      <c r="D331" s="15">
        <v>0.2</v>
      </c>
      <c r="E331" s="15">
        <v>11.0</v>
      </c>
      <c r="F331" s="15">
        <v>1.0</v>
      </c>
      <c r="G331" s="15">
        <v>2020.0</v>
      </c>
    </row>
    <row r="332" ht="15.75" customHeight="1">
      <c r="A332" s="15" t="s">
        <v>679</v>
      </c>
      <c r="B332" s="15">
        <v>1.0</v>
      </c>
      <c r="C332" s="15">
        <v>1.0</v>
      </c>
      <c r="D332" s="15">
        <v>0.333333333333333</v>
      </c>
      <c r="E332" s="15">
        <v>6.0</v>
      </c>
      <c r="F332" s="15">
        <v>1.0</v>
      </c>
      <c r="G332" s="15">
        <v>2022.0</v>
      </c>
    </row>
    <row r="333" ht="15.75" customHeight="1">
      <c r="A333" s="15" t="s">
        <v>680</v>
      </c>
      <c r="B333" s="15">
        <v>1.0</v>
      </c>
      <c r="C333" s="15">
        <v>1.0</v>
      </c>
      <c r="D333" s="15">
        <v>0.333333333333333</v>
      </c>
      <c r="E333" s="15">
        <v>2.0</v>
      </c>
      <c r="F333" s="15">
        <v>1.0</v>
      </c>
      <c r="G333" s="15">
        <v>2022.0</v>
      </c>
    </row>
    <row r="334" ht="15.75" customHeight="1">
      <c r="A334" s="15" t="s">
        <v>681</v>
      </c>
      <c r="B334" s="15">
        <v>1.0</v>
      </c>
      <c r="C334" s="15">
        <v>1.0</v>
      </c>
      <c r="D334" s="15">
        <v>0.166666666666667</v>
      </c>
      <c r="E334" s="15">
        <v>4.0</v>
      </c>
      <c r="F334" s="15">
        <v>1.0</v>
      </c>
      <c r="G334" s="15">
        <v>2019.0</v>
      </c>
    </row>
    <row r="335" ht="15.75" customHeight="1">
      <c r="A335" s="15" t="s">
        <v>682</v>
      </c>
      <c r="B335" s="15">
        <v>1.0</v>
      </c>
      <c r="C335" s="15">
        <v>1.0</v>
      </c>
      <c r="D335" s="15">
        <v>0.166666666666667</v>
      </c>
      <c r="E335" s="15">
        <v>4.0</v>
      </c>
      <c r="F335" s="15">
        <v>1.0</v>
      </c>
      <c r="G335" s="15">
        <v>2019.0</v>
      </c>
    </row>
    <row r="336" ht="15.75" customHeight="1">
      <c r="A336" s="15" t="s">
        <v>683</v>
      </c>
      <c r="B336" s="15">
        <v>1.0</v>
      </c>
      <c r="C336" s="15">
        <v>1.0</v>
      </c>
      <c r="D336" s="15">
        <v>0.0909090909090909</v>
      </c>
      <c r="E336" s="15">
        <v>6.0</v>
      </c>
      <c r="F336" s="15">
        <v>1.0</v>
      </c>
      <c r="G336" s="15">
        <v>2014.0</v>
      </c>
    </row>
    <row r="337" ht="15.75" customHeight="1">
      <c r="A337" s="15" t="s">
        <v>684</v>
      </c>
      <c r="B337" s="15">
        <v>1.0</v>
      </c>
      <c r="C337" s="15">
        <v>1.0</v>
      </c>
      <c r="D337" s="15">
        <v>0.111111111111111</v>
      </c>
      <c r="E337" s="15">
        <v>14.0</v>
      </c>
      <c r="F337" s="15">
        <v>1.0</v>
      </c>
      <c r="G337" s="15">
        <v>2016.0</v>
      </c>
    </row>
    <row r="338" ht="15.75" customHeight="1">
      <c r="A338" s="15" t="s">
        <v>685</v>
      </c>
      <c r="B338" s="15">
        <v>1.0</v>
      </c>
      <c r="C338" s="15">
        <v>1.0</v>
      </c>
      <c r="D338" s="15">
        <v>0.25</v>
      </c>
      <c r="E338" s="15">
        <v>5.0</v>
      </c>
      <c r="F338" s="15">
        <v>1.0</v>
      </c>
      <c r="G338" s="15">
        <v>2021.0</v>
      </c>
    </row>
    <row r="339" ht="15.75" customHeight="1">
      <c r="A339" s="15" t="s">
        <v>686</v>
      </c>
      <c r="B339" s="15">
        <v>1.0</v>
      </c>
      <c r="C339" s="15">
        <v>1.0</v>
      </c>
      <c r="D339" s="15">
        <v>0.333333333333333</v>
      </c>
      <c r="E339" s="15">
        <v>1.0</v>
      </c>
      <c r="F339" s="15">
        <v>1.0</v>
      </c>
      <c r="G339" s="15">
        <v>2022.0</v>
      </c>
    </row>
    <row r="340" ht="15.75" customHeight="1">
      <c r="A340" s="15" t="s">
        <v>687</v>
      </c>
      <c r="B340" s="15">
        <v>1.0</v>
      </c>
      <c r="C340" s="15">
        <v>1.0</v>
      </c>
      <c r="D340" s="15">
        <v>0.333333333333333</v>
      </c>
      <c r="E340" s="15">
        <v>2.0</v>
      </c>
      <c r="F340" s="15">
        <v>1.0</v>
      </c>
      <c r="G340" s="15">
        <v>2022.0</v>
      </c>
    </row>
    <row r="341" ht="15.75" customHeight="1">
      <c r="A341" s="15" t="s">
        <v>688</v>
      </c>
      <c r="B341" s="15">
        <v>1.0</v>
      </c>
      <c r="C341" s="15">
        <v>1.0</v>
      </c>
      <c r="D341" s="15">
        <v>0.5</v>
      </c>
      <c r="E341" s="15">
        <v>2.0</v>
      </c>
      <c r="F341" s="15">
        <v>1.0</v>
      </c>
      <c r="G341" s="15">
        <v>2023.0</v>
      </c>
    </row>
    <row r="342" ht="15.75" customHeight="1">
      <c r="A342" s="15" t="s">
        <v>689</v>
      </c>
      <c r="B342" s="15">
        <v>1.0</v>
      </c>
      <c r="C342" s="15">
        <v>1.0</v>
      </c>
      <c r="D342" s="15">
        <v>0.0555555555555556</v>
      </c>
      <c r="E342" s="15">
        <v>14.0</v>
      </c>
      <c r="F342" s="15">
        <v>1.0</v>
      </c>
      <c r="G342" s="15">
        <v>2007.0</v>
      </c>
    </row>
    <row r="343" ht="15.75" customHeight="1">
      <c r="A343" s="15" t="s">
        <v>690</v>
      </c>
      <c r="B343" s="15">
        <v>1.0</v>
      </c>
      <c r="C343" s="15">
        <v>1.0</v>
      </c>
      <c r="D343" s="15">
        <v>0.1</v>
      </c>
      <c r="E343" s="15">
        <v>36.0</v>
      </c>
      <c r="F343" s="15">
        <v>1.0</v>
      </c>
      <c r="G343" s="15">
        <v>2015.0</v>
      </c>
    </row>
    <row r="344" ht="15.75" customHeight="1">
      <c r="A344" s="15" t="s">
        <v>691</v>
      </c>
      <c r="B344" s="15">
        <v>1.0</v>
      </c>
      <c r="C344" s="15">
        <v>1.0</v>
      </c>
      <c r="D344" s="15">
        <v>0.25</v>
      </c>
      <c r="E344" s="15">
        <v>11.0</v>
      </c>
      <c r="F344" s="15">
        <v>1.0</v>
      </c>
      <c r="G344" s="15">
        <v>2021.0</v>
      </c>
    </row>
    <row r="345" ht="15.75" customHeight="1">
      <c r="A345" s="15" t="s">
        <v>692</v>
      </c>
      <c r="B345" s="15">
        <v>1.0</v>
      </c>
      <c r="C345" s="15">
        <v>1.0</v>
      </c>
      <c r="D345" s="15">
        <v>1.0</v>
      </c>
      <c r="E345" s="15">
        <v>5.0</v>
      </c>
      <c r="F345" s="15">
        <v>1.0</v>
      </c>
      <c r="G345" s="15">
        <v>2024.0</v>
      </c>
    </row>
    <row r="346" ht="15.75" customHeight="1">
      <c r="A346" s="15" t="s">
        <v>693</v>
      </c>
      <c r="B346" s="15">
        <v>1.0</v>
      </c>
      <c r="C346" s="15">
        <v>1.0</v>
      </c>
      <c r="D346" s="15">
        <v>0.142857142857143</v>
      </c>
      <c r="E346" s="15">
        <v>1.0</v>
      </c>
      <c r="F346" s="15">
        <v>1.0</v>
      </c>
      <c r="G346" s="15">
        <v>2018.0</v>
      </c>
    </row>
    <row r="347" ht="15.75" customHeight="1">
      <c r="A347" s="15" t="s">
        <v>694</v>
      </c>
      <c r="B347" s="15">
        <v>1.0</v>
      </c>
      <c r="C347" s="15">
        <v>1.0</v>
      </c>
      <c r="D347" s="15">
        <v>0.333333333333333</v>
      </c>
      <c r="E347" s="15">
        <v>2.0</v>
      </c>
      <c r="F347" s="15">
        <v>1.0</v>
      </c>
      <c r="G347" s="15">
        <v>2022.0</v>
      </c>
    </row>
    <row r="348" ht="15.75" customHeight="1">
      <c r="A348" s="15" t="s">
        <v>695</v>
      </c>
      <c r="B348" s="15">
        <v>1.0</v>
      </c>
      <c r="C348" s="15">
        <v>1.0</v>
      </c>
      <c r="D348" s="15">
        <v>0.5</v>
      </c>
      <c r="E348" s="15">
        <v>4.0</v>
      </c>
      <c r="F348" s="15">
        <v>1.0</v>
      </c>
      <c r="G348" s="15">
        <v>2023.0</v>
      </c>
    </row>
    <row r="349" ht="15.75" customHeight="1">
      <c r="A349" s="15" t="s">
        <v>696</v>
      </c>
      <c r="B349" s="15">
        <v>1.0</v>
      </c>
      <c r="C349" s="15">
        <v>1.0</v>
      </c>
      <c r="D349" s="15">
        <v>0.5</v>
      </c>
      <c r="E349" s="15">
        <v>4.0</v>
      </c>
      <c r="F349" s="15">
        <v>1.0</v>
      </c>
      <c r="G349" s="15">
        <v>2023.0</v>
      </c>
    </row>
    <row r="350" ht="15.75" customHeight="1">
      <c r="A350" s="15" t="s">
        <v>697</v>
      </c>
      <c r="B350" s="15">
        <v>1.0</v>
      </c>
      <c r="C350" s="15">
        <v>1.0</v>
      </c>
      <c r="D350" s="15">
        <v>0.166666666666667</v>
      </c>
      <c r="E350" s="15">
        <v>30.0</v>
      </c>
      <c r="F350" s="15">
        <v>1.0</v>
      </c>
      <c r="G350" s="15">
        <v>2019.0</v>
      </c>
    </row>
    <row r="351" ht="15.75" customHeight="1">
      <c r="A351" s="15" t="s">
        <v>698</v>
      </c>
      <c r="B351" s="15">
        <v>1.0</v>
      </c>
      <c r="C351" s="15">
        <v>1.0</v>
      </c>
      <c r="D351" s="15">
        <v>0.25</v>
      </c>
      <c r="E351" s="15">
        <v>21.0</v>
      </c>
      <c r="F351" s="15">
        <v>1.0</v>
      </c>
      <c r="G351" s="15">
        <v>2021.0</v>
      </c>
    </row>
    <row r="352" ht="15.75" customHeight="1">
      <c r="A352" s="15" t="s">
        <v>699</v>
      </c>
      <c r="B352" s="15">
        <v>1.0</v>
      </c>
      <c r="C352" s="15">
        <v>1.0</v>
      </c>
      <c r="D352" s="15">
        <v>0.5</v>
      </c>
      <c r="E352" s="15">
        <v>13.0</v>
      </c>
      <c r="F352" s="15">
        <v>1.0</v>
      </c>
      <c r="G352" s="15">
        <v>2023.0</v>
      </c>
    </row>
    <row r="353" ht="15.75" customHeight="1">
      <c r="A353" s="15" t="s">
        <v>700</v>
      </c>
      <c r="B353" s="15">
        <v>1.0</v>
      </c>
      <c r="C353" s="15">
        <v>1.0</v>
      </c>
      <c r="D353" s="15">
        <v>0.333333333333333</v>
      </c>
      <c r="E353" s="15">
        <v>6.0</v>
      </c>
      <c r="F353" s="15">
        <v>1.0</v>
      </c>
      <c r="G353" s="15">
        <v>2022.0</v>
      </c>
    </row>
    <row r="354" ht="15.75" customHeight="1">
      <c r="A354" s="15" t="s">
        <v>701</v>
      </c>
      <c r="B354" s="15">
        <v>1.0</v>
      </c>
      <c r="C354" s="15">
        <v>1.0</v>
      </c>
      <c r="D354" s="15">
        <v>0.2</v>
      </c>
      <c r="E354" s="15">
        <v>5.0</v>
      </c>
      <c r="F354" s="15">
        <v>1.0</v>
      </c>
      <c r="G354" s="15">
        <v>2020.0</v>
      </c>
    </row>
    <row r="355" ht="15.75" customHeight="1">
      <c r="A355" s="15" t="s">
        <v>702</v>
      </c>
      <c r="B355" s="15">
        <v>1.0</v>
      </c>
      <c r="C355" s="15">
        <v>1.0</v>
      </c>
      <c r="D355" s="15">
        <v>0.333333333333333</v>
      </c>
      <c r="E355" s="15">
        <v>3.0</v>
      </c>
      <c r="F355" s="15">
        <v>1.0</v>
      </c>
      <c r="G355" s="15">
        <v>2022.0</v>
      </c>
    </row>
    <row r="356" ht="15.75" customHeight="1">
      <c r="A356" s="15" t="s">
        <v>703</v>
      </c>
      <c r="B356" s="15">
        <v>1.0</v>
      </c>
      <c r="C356" s="15">
        <v>1.0</v>
      </c>
      <c r="D356" s="15">
        <v>0.25</v>
      </c>
      <c r="E356" s="15">
        <v>30.0</v>
      </c>
      <c r="F356" s="15">
        <v>1.0</v>
      </c>
      <c r="G356" s="15">
        <v>2021.0</v>
      </c>
    </row>
    <row r="357" ht="15.75" customHeight="1">
      <c r="A357" s="15" t="s">
        <v>704</v>
      </c>
      <c r="B357" s="15">
        <v>1.0</v>
      </c>
      <c r="C357" s="15">
        <v>1.0</v>
      </c>
      <c r="D357" s="15">
        <v>0.166666666666667</v>
      </c>
      <c r="E357" s="15">
        <v>15.0</v>
      </c>
      <c r="F357" s="15">
        <v>1.0</v>
      </c>
      <c r="G357" s="15">
        <v>2019.0</v>
      </c>
    </row>
    <row r="358" ht="15.75" customHeight="1">
      <c r="A358" s="15" t="s">
        <v>705</v>
      </c>
      <c r="B358" s="15">
        <v>1.0</v>
      </c>
      <c r="C358" s="15">
        <v>1.0</v>
      </c>
      <c r="D358" s="15">
        <v>0.25</v>
      </c>
      <c r="E358" s="15">
        <v>1.0</v>
      </c>
      <c r="F358" s="15">
        <v>1.0</v>
      </c>
      <c r="G358" s="15">
        <v>2021.0</v>
      </c>
    </row>
    <row r="359" ht="15.75" customHeight="1">
      <c r="A359" s="15" t="s">
        <v>706</v>
      </c>
      <c r="B359" s="15">
        <v>1.0</v>
      </c>
      <c r="C359" s="15">
        <v>1.0</v>
      </c>
      <c r="D359" s="15">
        <v>0.111111111111111</v>
      </c>
      <c r="E359" s="15">
        <v>28.0</v>
      </c>
      <c r="F359" s="15">
        <v>1.0</v>
      </c>
      <c r="G359" s="15">
        <v>2016.0</v>
      </c>
    </row>
    <row r="360" ht="15.75" customHeight="1">
      <c r="A360" s="15" t="s">
        <v>707</v>
      </c>
      <c r="B360" s="15">
        <v>1.0</v>
      </c>
      <c r="C360" s="15">
        <v>1.0</v>
      </c>
      <c r="D360" s="15">
        <v>0.5</v>
      </c>
      <c r="E360" s="15">
        <v>19.0</v>
      </c>
      <c r="F360" s="15">
        <v>1.0</v>
      </c>
      <c r="G360" s="15">
        <v>2023.0</v>
      </c>
    </row>
    <row r="361" ht="15.75" customHeight="1">
      <c r="A361" s="15" t="s">
        <v>708</v>
      </c>
      <c r="B361" s="15">
        <v>1.0</v>
      </c>
      <c r="C361" s="15">
        <v>1.0</v>
      </c>
      <c r="D361" s="15">
        <v>0.333333333333333</v>
      </c>
      <c r="E361" s="15">
        <v>10.0</v>
      </c>
      <c r="F361" s="15">
        <v>1.0</v>
      </c>
      <c r="G361" s="15">
        <v>2022.0</v>
      </c>
    </row>
    <row r="362" ht="15.75" customHeight="1">
      <c r="A362" s="15" t="s">
        <v>709</v>
      </c>
      <c r="B362" s="15">
        <v>1.0</v>
      </c>
      <c r="C362" s="15">
        <v>1.0</v>
      </c>
      <c r="D362" s="15">
        <v>0.142857142857143</v>
      </c>
      <c r="E362" s="15">
        <v>9.0</v>
      </c>
      <c r="F362" s="15">
        <v>1.0</v>
      </c>
      <c r="G362" s="15">
        <v>2018.0</v>
      </c>
    </row>
    <row r="363" ht="15.75" customHeight="1">
      <c r="A363" s="15" t="s">
        <v>710</v>
      </c>
      <c r="B363" s="15">
        <v>1.0</v>
      </c>
      <c r="C363" s="15">
        <v>1.0</v>
      </c>
      <c r="D363" s="15">
        <v>0.125</v>
      </c>
      <c r="E363" s="15">
        <v>23.0</v>
      </c>
      <c r="F363" s="15">
        <v>1.0</v>
      </c>
      <c r="G363" s="15">
        <v>2017.0</v>
      </c>
    </row>
    <row r="364" ht="15.75" customHeight="1">
      <c r="A364" s="15" t="s">
        <v>711</v>
      </c>
      <c r="B364" s="15">
        <v>1.0</v>
      </c>
      <c r="C364" s="15">
        <v>1.0</v>
      </c>
      <c r="D364" s="15">
        <v>0.2</v>
      </c>
      <c r="E364" s="15">
        <v>6.0</v>
      </c>
      <c r="F364" s="15">
        <v>1.0</v>
      </c>
      <c r="G364" s="15">
        <v>2020.0</v>
      </c>
    </row>
    <row r="365" ht="15.75" customHeight="1">
      <c r="A365" s="15" t="s">
        <v>712</v>
      </c>
      <c r="B365" s="15">
        <v>1.0</v>
      </c>
      <c r="C365" s="15">
        <v>1.0</v>
      </c>
      <c r="D365" s="15">
        <v>0.1</v>
      </c>
      <c r="E365" s="15">
        <v>3.0</v>
      </c>
      <c r="F365" s="15">
        <v>1.0</v>
      </c>
      <c r="G365" s="15">
        <v>2015.0</v>
      </c>
    </row>
    <row r="366" ht="15.75" customHeight="1">
      <c r="A366" s="15" t="s">
        <v>713</v>
      </c>
      <c r="B366" s="15">
        <v>1.0</v>
      </c>
      <c r="C366" s="15">
        <v>1.0</v>
      </c>
      <c r="D366" s="15">
        <v>0.25</v>
      </c>
      <c r="E366" s="15">
        <v>4.0</v>
      </c>
      <c r="F366" s="15">
        <v>1.0</v>
      </c>
      <c r="G366" s="15">
        <v>2021.0</v>
      </c>
    </row>
    <row r="367" ht="15.75" customHeight="1">
      <c r="A367" s="15" t="s">
        <v>714</v>
      </c>
      <c r="B367" s="15">
        <v>1.0</v>
      </c>
      <c r="C367" s="15">
        <v>1.0</v>
      </c>
      <c r="D367" s="15">
        <v>0.2</v>
      </c>
      <c r="E367" s="15">
        <v>11.0</v>
      </c>
      <c r="F367" s="15">
        <v>1.0</v>
      </c>
      <c r="G367" s="15">
        <v>2020.0</v>
      </c>
    </row>
    <row r="368" ht="15.75" customHeight="1">
      <c r="A368" s="15" t="s">
        <v>715</v>
      </c>
      <c r="B368" s="15">
        <v>1.0</v>
      </c>
      <c r="C368" s="15">
        <v>1.0</v>
      </c>
      <c r="D368" s="15">
        <v>0.2</v>
      </c>
      <c r="E368" s="15">
        <v>11.0</v>
      </c>
      <c r="F368" s="15">
        <v>1.0</v>
      </c>
      <c r="G368" s="15">
        <v>2020.0</v>
      </c>
    </row>
    <row r="369" ht="15.75" customHeight="1">
      <c r="A369" s="15" t="s">
        <v>716</v>
      </c>
      <c r="B369" s="15">
        <v>1.0</v>
      </c>
      <c r="C369" s="15">
        <v>1.0</v>
      </c>
      <c r="D369" s="15">
        <v>0.0833333333333333</v>
      </c>
      <c r="E369" s="15">
        <v>1.0</v>
      </c>
      <c r="F369" s="15">
        <v>1.0</v>
      </c>
      <c r="G369" s="15">
        <v>2013.0</v>
      </c>
    </row>
    <row r="370" ht="15.75" customHeight="1">
      <c r="A370" s="15" t="s">
        <v>717</v>
      </c>
      <c r="B370" s="15">
        <v>1.0</v>
      </c>
      <c r="C370" s="15">
        <v>1.0</v>
      </c>
      <c r="D370" s="15">
        <v>0.25</v>
      </c>
      <c r="E370" s="15">
        <v>4.0</v>
      </c>
      <c r="F370" s="15">
        <v>1.0</v>
      </c>
      <c r="G370" s="15">
        <v>2021.0</v>
      </c>
    </row>
    <row r="371" ht="15.75" customHeight="1">
      <c r="A371" s="15" t="s">
        <v>718</v>
      </c>
      <c r="B371" s="15">
        <v>1.0</v>
      </c>
      <c r="C371" s="15">
        <v>1.0</v>
      </c>
      <c r="D371" s="15">
        <v>0.111111111111111</v>
      </c>
      <c r="E371" s="15">
        <v>4.0</v>
      </c>
      <c r="F371" s="15">
        <v>1.0</v>
      </c>
      <c r="G371" s="15">
        <v>2016.0</v>
      </c>
    </row>
    <row r="372" ht="15.75" customHeight="1">
      <c r="A372" s="15" t="s">
        <v>719</v>
      </c>
      <c r="B372" s="15">
        <v>1.0</v>
      </c>
      <c r="C372" s="15">
        <v>1.0</v>
      </c>
      <c r="D372" s="15">
        <v>1.0</v>
      </c>
      <c r="E372" s="15">
        <v>3.0</v>
      </c>
      <c r="F372" s="15">
        <v>1.0</v>
      </c>
      <c r="G372" s="15">
        <v>2024.0</v>
      </c>
    </row>
    <row r="373" ht="15.75" customHeight="1">
      <c r="A373" s="15" t="s">
        <v>720</v>
      </c>
      <c r="B373" s="15">
        <v>1.0</v>
      </c>
      <c r="C373" s="15">
        <v>1.0</v>
      </c>
      <c r="D373" s="15">
        <v>0.2</v>
      </c>
      <c r="E373" s="15">
        <v>11.0</v>
      </c>
      <c r="F373" s="15">
        <v>1.0</v>
      </c>
      <c r="G373" s="15">
        <v>2020.0</v>
      </c>
    </row>
    <row r="374" ht="15.75" customHeight="1">
      <c r="A374" s="15" t="s">
        <v>721</v>
      </c>
      <c r="B374" s="15">
        <v>1.0</v>
      </c>
      <c r="C374" s="15">
        <v>1.0</v>
      </c>
      <c r="D374" s="15">
        <v>0.333333333333333</v>
      </c>
      <c r="E374" s="15">
        <v>3.0</v>
      </c>
      <c r="F374" s="15">
        <v>1.0</v>
      </c>
      <c r="G374" s="15">
        <v>2022.0</v>
      </c>
    </row>
    <row r="375" ht="15.75" customHeight="1">
      <c r="A375" s="15" t="s">
        <v>722</v>
      </c>
      <c r="B375" s="15">
        <v>1.0</v>
      </c>
      <c r="C375" s="15">
        <v>1.0</v>
      </c>
      <c r="D375" s="15">
        <v>0.333333333333333</v>
      </c>
      <c r="E375" s="15">
        <v>11.0</v>
      </c>
      <c r="F375" s="15">
        <v>1.0</v>
      </c>
      <c r="G375" s="15">
        <v>2022.0</v>
      </c>
    </row>
    <row r="376" ht="15.75" customHeight="1">
      <c r="A376" s="15" t="s">
        <v>723</v>
      </c>
      <c r="B376" s="15">
        <v>1.0</v>
      </c>
      <c r="C376" s="15">
        <v>1.0</v>
      </c>
      <c r="D376" s="15">
        <v>0.2</v>
      </c>
      <c r="E376" s="15">
        <v>4.0</v>
      </c>
      <c r="F376" s="15">
        <v>1.0</v>
      </c>
      <c r="G376" s="15">
        <v>2020.0</v>
      </c>
    </row>
    <row r="377" ht="15.75" customHeight="1">
      <c r="A377" s="15" t="s">
        <v>724</v>
      </c>
      <c r="B377" s="15">
        <v>1.0</v>
      </c>
      <c r="C377" s="15">
        <v>1.0</v>
      </c>
      <c r="D377" s="15">
        <v>0.5</v>
      </c>
      <c r="E377" s="15">
        <v>5.0</v>
      </c>
      <c r="F377" s="15">
        <v>1.0</v>
      </c>
      <c r="G377" s="15">
        <v>2023.0</v>
      </c>
    </row>
    <row r="378" ht="15.75" customHeight="1">
      <c r="A378" s="15" t="s">
        <v>725</v>
      </c>
      <c r="B378" s="15">
        <v>1.0</v>
      </c>
      <c r="C378" s="15">
        <v>1.0</v>
      </c>
      <c r="D378" s="15">
        <v>0.5</v>
      </c>
      <c r="E378" s="15">
        <v>5.0</v>
      </c>
      <c r="F378" s="15">
        <v>1.0</v>
      </c>
      <c r="G378" s="15">
        <v>2023.0</v>
      </c>
    </row>
    <row r="379" ht="15.75" customHeight="1">
      <c r="A379" s="15" t="s">
        <v>726</v>
      </c>
      <c r="B379" s="15">
        <v>1.0</v>
      </c>
      <c r="C379" s="15">
        <v>1.0</v>
      </c>
      <c r="D379" s="15">
        <v>0.25</v>
      </c>
      <c r="E379" s="15">
        <v>20.0</v>
      </c>
      <c r="F379" s="15">
        <v>1.0</v>
      </c>
      <c r="G379" s="15">
        <v>2021.0</v>
      </c>
    </row>
    <row r="380" ht="15.75" customHeight="1">
      <c r="A380" s="15" t="s">
        <v>727</v>
      </c>
      <c r="B380" s="15">
        <v>1.0</v>
      </c>
      <c r="C380" s="15">
        <v>1.0</v>
      </c>
      <c r="D380" s="15">
        <v>0.25</v>
      </c>
      <c r="E380" s="15">
        <v>12.0</v>
      </c>
      <c r="F380" s="15">
        <v>1.0</v>
      </c>
      <c r="G380" s="15">
        <v>2021.0</v>
      </c>
    </row>
    <row r="381" ht="15.75" customHeight="1">
      <c r="A381" s="15" t="s">
        <v>728</v>
      </c>
      <c r="B381" s="15">
        <v>1.0</v>
      </c>
      <c r="C381" s="15">
        <v>1.0</v>
      </c>
      <c r="D381" s="15">
        <v>0.111111111111111</v>
      </c>
      <c r="E381" s="15">
        <v>4.0</v>
      </c>
      <c r="F381" s="15">
        <v>1.0</v>
      </c>
      <c r="G381" s="15">
        <v>2016.0</v>
      </c>
    </row>
    <row r="382" ht="15.75" customHeight="1">
      <c r="A382" s="15" t="s">
        <v>729</v>
      </c>
      <c r="B382" s="15">
        <v>1.0</v>
      </c>
      <c r="C382" s="15">
        <v>1.0</v>
      </c>
      <c r="D382" s="15">
        <v>0.25</v>
      </c>
      <c r="E382" s="15">
        <v>2.0</v>
      </c>
      <c r="F382" s="15">
        <v>1.0</v>
      </c>
      <c r="G382" s="15">
        <v>2021.0</v>
      </c>
    </row>
    <row r="383" ht="15.75" customHeight="1">
      <c r="A383" s="15" t="s">
        <v>730</v>
      </c>
      <c r="B383" s="15">
        <v>1.0</v>
      </c>
      <c r="C383" s="15">
        <v>1.0</v>
      </c>
      <c r="D383" s="15">
        <v>0.333333333333333</v>
      </c>
      <c r="E383" s="15">
        <v>3.0</v>
      </c>
      <c r="F383" s="15">
        <v>1.0</v>
      </c>
      <c r="G383" s="15">
        <v>2022.0</v>
      </c>
    </row>
    <row r="384" ht="15.75" customHeight="1">
      <c r="A384" s="15" t="s">
        <v>731</v>
      </c>
      <c r="B384" s="15">
        <v>1.0</v>
      </c>
      <c r="C384" s="15">
        <v>1.0</v>
      </c>
      <c r="D384" s="15">
        <v>0.333333333333333</v>
      </c>
      <c r="E384" s="15">
        <v>2.0</v>
      </c>
      <c r="F384" s="15">
        <v>1.0</v>
      </c>
      <c r="G384" s="15">
        <v>2022.0</v>
      </c>
    </row>
    <row r="385" ht="15.75" customHeight="1">
      <c r="A385" s="15" t="s">
        <v>732</v>
      </c>
      <c r="B385" s="15">
        <v>1.0</v>
      </c>
      <c r="C385" s="15">
        <v>1.0</v>
      </c>
      <c r="D385" s="15">
        <v>0.333333333333333</v>
      </c>
      <c r="E385" s="15">
        <v>2.0</v>
      </c>
      <c r="F385" s="15">
        <v>1.0</v>
      </c>
      <c r="G385" s="15">
        <v>2022.0</v>
      </c>
    </row>
    <row r="386" ht="15.75" customHeight="1">
      <c r="A386" s="15" t="s">
        <v>733</v>
      </c>
      <c r="B386" s="15">
        <v>1.0</v>
      </c>
      <c r="C386" s="15">
        <v>1.0</v>
      </c>
      <c r="D386" s="15">
        <v>0.2</v>
      </c>
      <c r="E386" s="15">
        <v>43.0</v>
      </c>
      <c r="F386" s="15">
        <v>1.0</v>
      </c>
      <c r="G386" s="15">
        <v>2020.0</v>
      </c>
    </row>
    <row r="387" ht="15.75" customHeight="1">
      <c r="A387" s="15" t="s">
        <v>734</v>
      </c>
      <c r="B387" s="15">
        <v>1.0</v>
      </c>
      <c r="C387" s="15">
        <v>1.0</v>
      </c>
      <c r="D387" s="15">
        <v>0.5</v>
      </c>
      <c r="E387" s="15">
        <v>1.0</v>
      </c>
      <c r="F387" s="15">
        <v>1.0</v>
      </c>
      <c r="G387" s="15">
        <v>2023.0</v>
      </c>
    </row>
    <row r="388" ht="15.75" customHeight="1">
      <c r="A388" s="15" t="s">
        <v>735</v>
      </c>
      <c r="B388" s="15">
        <v>1.0</v>
      </c>
      <c r="C388" s="15">
        <v>1.0</v>
      </c>
      <c r="D388" s="15">
        <v>0.125</v>
      </c>
      <c r="E388" s="15">
        <v>29.0</v>
      </c>
      <c r="F388" s="15">
        <v>1.0</v>
      </c>
      <c r="G388" s="15">
        <v>2017.0</v>
      </c>
    </row>
    <row r="389" ht="15.75" customHeight="1">
      <c r="A389" s="15" t="s">
        <v>736</v>
      </c>
      <c r="B389" s="15">
        <v>1.0</v>
      </c>
      <c r="C389" s="15">
        <v>1.0</v>
      </c>
      <c r="D389" s="15">
        <v>0.2</v>
      </c>
      <c r="E389" s="15">
        <v>65.0</v>
      </c>
      <c r="F389" s="15">
        <v>1.0</v>
      </c>
      <c r="G389" s="15">
        <v>2020.0</v>
      </c>
    </row>
    <row r="390" ht="15.75" customHeight="1">
      <c r="A390" s="15" t="s">
        <v>737</v>
      </c>
      <c r="B390" s="15">
        <v>1.0</v>
      </c>
      <c r="C390" s="15">
        <v>1.0</v>
      </c>
      <c r="D390" s="15">
        <v>0.333333333333333</v>
      </c>
      <c r="E390" s="15">
        <v>1.0</v>
      </c>
      <c r="F390" s="15">
        <v>1.0</v>
      </c>
      <c r="G390" s="15">
        <v>2022.0</v>
      </c>
    </row>
    <row r="391" ht="15.75" customHeight="1">
      <c r="A391" s="15" t="s">
        <v>738</v>
      </c>
      <c r="B391" s="15">
        <v>1.0</v>
      </c>
      <c r="C391" s="15">
        <v>1.0</v>
      </c>
      <c r="D391" s="15">
        <v>0.5</v>
      </c>
      <c r="E391" s="15">
        <v>1.0</v>
      </c>
      <c r="F391" s="15">
        <v>1.0</v>
      </c>
      <c r="G391" s="15">
        <v>2023.0</v>
      </c>
    </row>
    <row r="392" ht="15.75" customHeight="1">
      <c r="A392" s="15" t="s">
        <v>739</v>
      </c>
      <c r="B392" s="15">
        <v>1.0</v>
      </c>
      <c r="C392" s="15">
        <v>1.0</v>
      </c>
      <c r="D392" s="15">
        <v>0.0588235294117647</v>
      </c>
      <c r="E392" s="15">
        <v>17.0</v>
      </c>
      <c r="F392" s="15">
        <v>1.0</v>
      </c>
      <c r="G392" s="15">
        <v>2008.0</v>
      </c>
    </row>
    <row r="393" ht="15.75" customHeight="1">
      <c r="A393" s="15" t="s">
        <v>740</v>
      </c>
      <c r="B393" s="15">
        <v>1.0</v>
      </c>
      <c r="C393" s="15">
        <v>1.0</v>
      </c>
      <c r="D393" s="15">
        <v>0.5</v>
      </c>
      <c r="E393" s="15">
        <v>1.0</v>
      </c>
      <c r="F393" s="15">
        <v>1.0</v>
      </c>
      <c r="G393" s="15">
        <v>2023.0</v>
      </c>
    </row>
    <row r="394" ht="15.75" customHeight="1">
      <c r="A394" s="15" t="s">
        <v>741</v>
      </c>
      <c r="B394" s="15">
        <v>1.0</v>
      </c>
      <c r="C394" s="15">
        <v>1.0</v>
      </c>
      <c r="D394" s="15">
        <v>0.111111111111111</v>
      </c>
      <c r="E394" s="15">
        <v>4.0</v>
      </c>
      <c r="F394" s="15">
        <v>1.0</v>
      </c>
      <c r="G394" s="15">
        <v>2016.0</v>
      </c>
    </row>
    <row r="395" ht="15.75" customHeight="1">
      <c r="A395" s="15" t="s">
        <v>742</v>
      </c>
      <c r="B395" s="15">
        <v>1.0</v>
      </c>
      <c r="C395" s="15">
        <v>1.0</v>
      </c>
      <c r="D395" s="15">
        <v>0.166666666666667</v>
      </c>
      <c r="E395" s="15">
        <v>15.0</v>
      </c>
      <c r="F395" s="15">
        <v>1.0</v>
      </c>
      <c r="G395" s="15">
        <v>2019.0</v>
      </c>
    </row>
    <row r="396" ht="15.75" customHeight="1">
      <c r="A396" s="15" t="s">
        <v>743</v>
      </c>
      <c r="B396" s="15">
        <v>1.0</v>
      </c>
      <c r="C396" s="15">
        <v>1.0</v>
      </c>
      <c r="D396" s="15">
        <v>1.0</v>
      </c>
      <c r="E396" s="15">
        <v>2.0</v>
      </c>
      <c r="F396" s="15">
        <v>1.0</v>
      </c>
      <c r="G396" s="15">
        <v>2024.0</v>
      </c>
    </row>
    <row r="397" ht="15.75" customHeight="1">
      <c r="A397" s="15" t="s">
        <v>744</v>
      </c>
      <c r="B397" s="15">
        <v>1.0</v>
      </c>
      <c r="C397" s="15">
        <v>1.0</v>
      </c>
      <c r="D397" s="15">
        <v>0.25</v>
      </c>
      <c r="E397" s="15">
        <v>20.0</v>
      </c>
      <c r="F397" s="15">
        <v>1.0</v>
      </c>
      <c r="G397" s="15">
        <v>2021.0</v>
      </c>
    </row>
    <row r="398" ht="15.75" customHeight="1">
      <c r="A398" s="15" t="s">
        <v>745</v>
      </c>
      <c r="B398" s="15">
        <v>1.0</v>
      </c>
      <c r="C398" s="15">
        <v>1.0</v>
      </c>
      <c r="D398" s="15">
        <v>0.25</v>
      </c>
      <c r="E398" s="15">
        <v>1.0</v>
      </c>
      <c r="F398" s="15">
        <v>1.0</v>
      </c>
      <c r="G398" s="15">
        <v>2021.0</v>
      </c>
    </row>
    <row r="399" ht="15.75" customHeight="1">
      <c r="A399" s="15" t="s">
        <v>746</v>
      </c>
      <c r="B399" s="15">
        <v>1.0</v>
      </c>
      <c r="C399" s="15">
        <v>1.0</v>
      </c>
      <c r="D399" s="15">
        <v>0.0526315789473684</v>
      </c>
      <c r="E399" s="15">
        <v>2.0</v>
      </c>
      <c r="F399" s="15">
        <v>1.0</v>
      </c>
      <c r="G399" s="15">
        <v>2006.0</v>
      </c>
    </row>
    <row r="400" ht="15.75" customHeight="1">
      <c r="A400" s="15" t="s">
        <v>747</v>
      </c>
      <c r="B400" s="15">
        <v>1.0</v>
      </c>
      <c r="C400" s="15">
        <v>1.0</v>
      </c>
      <c r="D400" s="15">
        <v>0.2</v>
      </c>
      <c r="E400" s="15">
        <v>5.0</v>
      </c>
      <c r="F400" s="15">
        <v>1.0</v>
      </c>
      <c r="G400" s="15">
        <v>2020.0</v>
      </c>
    </row>
    <row r="401" ht="15.75" customHeight="1">
      <c r="A401" s="15" t="s">
        <v>748</v>
      </c>
      <c r="B401" s="15">
        <v>1.0</v>
      </c>
      <c r="C401" s="15">
        <v>1.0</v>
      </c>
      <c r="D401" s="15">
        <v>1.0</v>
      </c>
      <c r="E401" s="15">
        <v>2.0</v>
      </c>
      <c r="F401" s="15">
        <v>1.0</v>
      </c>
      <c r="G401" s="15">
        <v>2024.0</v>
      </c>
    </row>
    <row r="402" ht="15.75" customHeight="1">
      <c r="A402" s="15" t="s">
        <v>749</v>
      </c>
      <c r="B402" s="15">
        <v>1.0</v>
      </c>
      <c r="C402" s="15">
        <v>1.0</v>
      </c>
      <c r="D402" s="15">
        <v>0.25</v>
      </c>
      <c r="E402" s="15">
        <v>6.0</v>
      </c>
      <c r="F402" s="15">
        <v>1.0</v>
      </c>
      <c r="G402" s="15">
        <v>2021.0</v>
      </c>
    </row>
    <row r="403" ht="15.75" customHeight="1">
      <c r="A403" s="15" t="s">
        <v>750</v>
      </c>
      <c r="B403" s="15">
        <v>1.0</v>
      </c>
      <c r="C403" s="15">
        <v>1.0</v>
      </c>
      <c r="D403" s="15">
        <v>0.5</v>
      </c>
      <c r="E403" s="15">
        <v>1.0</v>
      </c>
      <c r="F403" s="15">
        <v>1.0</v>
      </c>
      <c r="G403" s="15">
        <v>2023.0</v>
      </c>
    </row>
    <row r="404" ht="15.75" customHeight="1">
      <c r="A404" s="15" t="s">
        <v>751</v>
      </c>
      <c r="B404" s="15">
        <v>1.0</v>
      </c>
      <c r="C404" s="15">
        <v>1.0</v>
      </c>
      <c r="D404" s="15">
        <v>0.142857142857143</v>
      </c>
      <c r="E404" s="15">
        <v>2.0</v>
      </c>
      <c r="F404" s="15">
        <v>1.0</v>
      </c>
      <c r="G404" s="15">
        <v>2018.0</v>
      </c>
    </row>
    <row r="405" ht="15.75" customHeight="1">
      <c r="A405" s="15" t="s">
        <v>752</v>
      </c>
      <c r="B405" s="15">
        <v>1.0</v>
      </c>
      <c r="C405" s="15">
        <v>1.0</v>
      </c>
      <c r="D405" s="15">
        <v>0.5</v>
      </c>
      <c r="E405" s="15">
        <v>5.0</v>
      </c>
      <c r="F405" s="15">
        <v>1.0</v>
      </c>
      <c r="G405" s="15">
        <v>2023.0</v>
      </c>
    </row>
    <row r="406" ht="15.75" customHeight="1">
      <c r="A406" s="15" t="s">
        <v>753</v>
      </c>
      <c r="B406" s="15">
        <v>1.0</v>
      </c>
      <c r="C406" s="15">
        <v>1.0</v>
      </c>
      <c r="D406" s="15">
        <v>0.5</v>
      </c>
      <c r="E406" s="15">
        <v>1.0</v>
      </c>
      <c r="F406" s="15">
        <v>1.0</v>
      </c>
      <c r="G406" s="15">
        <v>2023.0</v>
      </c>
    </row>
    <row r="407" ht="15.75" customHeight="1">
      <c r="A407" s="15" t="s">
        <v>754</v>
      </c>
      <c r="B407" s="15">
        <v>1.0</v>
      </c>
      <c r="C407" s="15">
        <v>1.0</v>
      </c>
      <c r="D407" s="15">
        <v>0.25</v>
      </c>
      <c r="E407" s="15">
        <v>4.0</v>
      </c>
      <c r="F407" s="15">
        <v>1.0</v>
      </c>
      <c r="G407" s="15">
        <v>2021.0</v>
      </c>
    </row>
    <row r="408" ht="15.75" customHeight="1">
      <c r="A408" s="15" t="s">
        <v>755</v>
      </c>
      <c r="B408" s="15">
        <v>1.0</v>
      </c>
      <c r="C408" s="15">
        <v>1.0</v>
      </c>
      <c r="D408" s="15">
        <v>0.25</v>
      </c>
      <c r="E408" s="15">
        <v>4.0</v>
      </c>
      <c r="F408" s="15">
        <v>1.0</v>
      </c>
      <c r="G408" s="15">
        <v>2021.0</v>
      </c>
    </row>
    <row r="409" ht="15.75" customHeight="1">
      <c r="A409" s="15" t="s">
        <v>756</v>
      </c>
      <c r="B409" s="15">
        <v>1.0</v>
      </c>
      <c r="C409" s="15">
        <v>1.0</v>
      </c>
      <c r="D409" s="15">
        <v>0.333333333333333</v>
      </c>
      <c r="E409" s="15">
        <v>1.0</v>
      </c>
      <c r="F409" s="15">
        <v>1.0</v>
      </c>
      <c r="G409" s="15">
        <v>2022.0</v>
      </c>
    </row>
    <row r="410" ht="15.75" customHeight="1">
      <c r="A410" s="15" t="s">
        <v>757</v>
      </c>
      <c r="B410" s="15">
        <v>1.0</v>
      </c>
      <c r="C410" s="15">
        <v>1.0</v>
      </c>
      <c r="D410" s="15">
        <v>0.5</v>
      </c>
      <c r="E410" s="15">
        <v>1.0</v>
      </c>
      <c r="F410" s="15">
        <v>1.0</v>
      </c>
      <c r="G410" s="15">
        <v>2023.0</v>
      </c>
    </row>
    <row r="411" ht="15.75" customHeight="1">
      <c r="A411" s="15" t="s">
        <v>758</v>
      </c>
      <c r="B411" s="15">
        <v>1.0</v>
      </c>
      <c r="C411" s="15">
        <v>1.0</v>
      </c>
      <c r="D411" s="15">
        <v>0.25</v>
      </c>
      <c r="E411" s="15">
        <v>12.0</v>
      </c>
      <c r="F411" s="15">
        <v>1.0</v>
      </c>
      <c r="G411" s="15">
        <v>2021.0</v>
      </c>
    </row>
    <row r="412" ht="15.75" customHeight="1">
      <c r="A412" s="15" t="s">
        <v>759</v>
      </c>
      <c r="B412" s="15">
        <v>1.0</v>
      </c>
      <c r="C412" s="15">
        <v>1.0</v>
      </c>
      <c r="D412" s="15">
        <v>0.5</v>
      </c>
      <c r="E412" s="15">
        <v>7.0</v>
      </c>
      <c r="F412" s="15">
        <v>1.0</v>
      </c>
      <c r="G412" s="15">
        <v>2023.0</v>
      </c>
    </row>
    <row r="413" ht="15.75" customHeight="1">
      <c r="A413" s="15" t="s">
        <v>760</v>
      </c>
      <c r="B413" s="15">
        <v>1.0</v>
      </c>
      <c r="C413" s="15">
        <v>1.0</v>
      </c>
      <c r="D413" s="15">
        <v>0.0625</v>
      </c>
      <c r="E413" s="15">
        <v>13.0</v>
      </c>
      <c r="F413" s="15">
        <v>1.0</v>
      </c>
      <c r="G413" s="15">
        <v>2009.0</v>
      </c>
    </row>
    <row r="414" ht="15.75" customHeight="1">
      <c r="A414" s="15" t="s">
        <v>761</v>
      </c>
      <c r="B414" s="15">
        <v>1.0</v>
      </c>
      <c r="C414" s="15">
        <v>1.0</v>
      </c>
      <c r="D414" s="15">
        <v>0.0555555555555556</v>
      </c>
      <c r="E414" s="15">
        <v>305.0</v>
      </c>
      <c r="F414" s="15">
        <v>1.0</v>
      </c>
      <c r="G414" s="15">
        <v>2007.0</v>
      </c>
    </row>
    <row r="415" ht="15.75" customHeight="1">
      <c r="A415" s="15" t="s">
        <v>762</v>
      </c>
      <c r="B415" s="15">
        <v>1.0</v>
      </c>
      <c r="C415" s="15">
        <v>1.0</v>
      </c>
      <c r="D415" s="15">
        <v>0.0714285714285714</v>
      </c>
      <c r="E415" s="15">
        <v>7.0</v>
      </c>
      <c r="F415" s="15">
        <v>1.0</v>
      </c>
      <c r="G415" s="15">
        <v>2011.0</v>
      </c>
    </row>
    <row r="416" ht="15.75" customHeight="1">
      <c r="A416" s="15" t="s">
        <v>763</v>
      </c>
      <c r="B416" s="15">
        <v>1.0</v>
      </c>
      <c r="C416" s="15">
        <v>1.0</v>
      </c>
      <c r="D416" s="15">
        <v>0.2</v>
      </c>
      <c r="E416" s="15">
        <v>15.0</v>
      </c>
      <c r="F416" s="15">
        <v>1.0</v>
      </c>
      <c r="G416" s="15">
        <v>2020.0</v>
      </c>
    </row>
    <row r="417" ht="15.75" customHeight="1">
      <c r="A417" s="15" t="s">
        <v>764</v>
      </c>
      <c r="B417" s="15">
        <v>1.0</v>
      </c>
      <c r="C417" s="15">
        <v>1.0</v>
      </c>
      <c r="D417" s="15">
        <v>0.2</v>
      </c>
      <c r="E417" s="15">
        <v>1.0</v>
      </c>
      <c r="F417" s="15">
        <v>1.0</v>
      </c>
      <c r="G417" s="15">
        <v>2020.0</v>
      </c>
    </row>
    <row r="418" ht="15.75" customHeight="1">
      <c r="A418" s="15" t="s">
        <v>765</v>
      </c>
      <c r="B418" s="15">
        <v>1.0</v>
      </c>
      <c r="C418" s="15">
        <v>1.0</v>
      </c>
      <c r="D418" s="15">
        <v>0.125</v>
      </c>
      <c r="E418" s="15">
        <v>23.0</v>
      </c>
      <c r="F418" s="15">
        <v>1.0</v>
      </c>
      <c r="G418" s="15">
        <v>2017.0</v>
      </c>
    </row>
    <row r="419" ht="15.75" customHeight="1">
      <c r="A419" s="15" t="s">
        <v>766</v>
      </c>
      <c r="B419" s="15">
        <v>1.0</v>
      </c>
      <c r="C419" s="15">
        <v>1.0</v>
      </c>
      <c r="D419" s="15">
        <v>0.2</v>
      </c>
      <c r="E419" s="15">
        <v>15.0</v>
      </c>
      <c r="F419" s="15">
        <v>1.0</v>
      </c>
      <c r="G419" s="15">
        <v>2020.0</v>
      </c>
    </row>
    <row r="420" ht="15.75" customHeight="1">
      <c r="A420" s="15" t="s">
        <v>767</v>
      </c>
      <c r="B420" s="15">
        <v>1.0</v>
      </c>
      <c r="C420" s="15">
        <v>1.0</v>
      </c>
      <c r="D420" s="15">
        <v>0.2</v>
      </c>
      <c r="E420" s="15">
        <v>15.0</v>
      </c>
      <c r="F420" s="15">
        <v>1.0</v>
      </c>
      <c r="G420" s="15">
        <v>2020.0</v>
      </c>
    </row>
    <row r="421" ht="15.75" customHeight="1">
      <c r="A421" s="15" t="s">
        <v>768</v>
      </c>
      <c r="B421" s="15">
        <v>1.0</v>
      </c>
      <c r="C421" s="15">
        <v>1.0</v>
      </c>
      <c r="D421" s="15">
        <v>0.2</v>
      </c>
      <c r="E421" s="15">
        <v>4.0</v>
      </c>
      <c r="F421" s="15">
        <v>1.0</v>
      </c>
      <c r="G421" s="15">
        <v>2020.0</v>
      </c>
    </row>
    <row r="422" ht="15.75" customHeight="1">
      <c r="A422" s="15" t="s">
        <v>769</v>
      </c>
      <c r="B422" s="15">
        <v>1.0</v>
      </c>
      <c r="C422" s="15">
        <v>1.0</v>
      </c>
      <c r="D422" s="15">
        <v>0.25</v>
      </c>
      <c r="E422" s="15">
        <v>4.0</v>
      </c>
      <c r="F422" s="15">
        <v>1.0</v>
      </c>
      <c r="G422" s="15">
        <v>2021.0</v>
      </c>
    </row>
    <row r="423" ht="15.75" customHeight="1">
      <c r="A423" s="15" t="s">
        <v>770</v>
      </c>
      <c r="B423" s="15">
        <v>1.0</v>
      </c>
      <c r="C423" s="15">
        <v>1.0</v>
      </c>
      <c r="D423" s="15">
        <v>0.25</v>
      </c>
      <c r="E423" s="15">
        <v>43.0</v>
      </c>
      <c r="F423" s="15">
        <v>1.0</v>
      </c>
      <c r="G423" s="15">
        <v>2021.0</v>
      </c>
    </row>
    <row r="424" ht="15.75" customHeight="1">
      <c r="A424" s="15" t="s">
        <v>771</v>
      </c>
      <c r="B424" s="15">
        <v>1.0</v>
      </c>
      <c r="C424" s="15">
        <v>1.0</v>
      </c>
      <c r="D424" s="15">
        <v>0.5</v>
      </c>
      <c r="E424" s="15">
        <v>7.0</v>
      </c>
      <c r="F424" s="15">
        <v>1.0</v>
      </c>
      <c r="G424" s="15">
        <v>2023.0</v>
      </c>
    </row>
    <row r="425" ht="15.75" customHeight="1">
      <c r="A425" s="15" t="s">
        <v>772</v>
      </c>
      <c r="B425" s="15">
        <v>1.0</v>
      </c>
      <c r="C425" s="15">
        <v>1.0</v>
      </c>
      <c r="D425" s="15">
        <v>0.25</v>
      </c>
      <c r="E425" s="15">
        <v>21.0</v>
      </c>
      <c r="F425" s="15">
        <v>1.0</v>
      </c>
      <c r="G425" s="15">
        <v>2021.0</v>
      </c>
    </row>
    <row r="426" ht="15.75" customHeight="1">
      <c r="A426" s="15" t="s">
        <v>773</v>
      </c>
      <c r="B426" s="15">
        <v>1.0</v>
      </c>
      <c r="C426" s="15">
        <v>1.0</v>
      </c>
      <c r="D426" s="15">
        <v>0.5</v>
      </c>
      <c r="E426" s="15">
        <v>2.0</v>
      </c>
      <c r="F426" s="15">
        <v>1.0</v>
      </c>
      <c r="G426" s="15">
        <v>2023.0</v>
      </c>
    </row>
    <row r="427" ht="15.75" customHeight="1">
      <c r="A427" s="15" t="s">
        <v>774</v>
      </c>
      <c r="B427" s="15">
        <v>1.0</v>
      </c>
      <c r="C427" s="15">
        <v>1.0</v>
      </c>
      <c r="D427" s="15">
        <v>0.2</v>
      </c>
      <c r="E427" s="15">
        <v>1.0</v>
      </c>
      <c r="F427" s="15">
        <v>1.0</v>
      </c>
      <c r="G427" s="15">
        <v>2020.0</v>
      </c>
    </row>
    <row r="428" ht="15.75" customHeight="1">
      <c r="A428" s="15" t="s">
        <v>775</v>
      </c>
      <c r="B428" s="15">
        <v>1.0</v>
      </c>
      <c r="C428" s="15">
        <v>1.0</v>
      </c>
      <c r="D428" s="15">
        <v>0.2</v>
      </c>
      <c r="E428" s="15">
        <v>7.0</v>
      </c>
      <c r="F428" s="15">
        <v>1.0</v>
      </c>
      <c r="G428" s="15">
        <v>2020.0</v>
      </c>
    </row>
    <row r="429" ht="15.75" customHeight="1">
      <c r="A429" s="15" t="s">
        <v>776</v>
      </c>
      <c r="B429" s="15">
        <v>1.0</v>
      </c>
      <c r="C429" s="15">
        <v>1.0</v>
      </c>
      <c r="D429" s="15">
        <v>0.5</v>
      </c>
      <c r="E429" s="15">
        <v>2.0</v>
      </c>
      <c r="F429" s="15">
        <v>1.0</v>
      </c>
      <c r="G429" s="15">
        <v>2023.0</v>
      </c>
    </row>
    <row r="430" ht="15.75" customHeight="1">
      <c r="A430" s="15" t="s">
        <v>777</v>
      </c>
      <c r="B430" s="15">
        <v>1.0</v>
      </c>
      <c r="C430" s="15">
        <v>1.0</v>
      </c>
      <c r="D430" s="15">
        <v>1.0</v>
      </c>
      <c r="E430" s="15">
        <v>5.0</v>
      </c>
      <c r="F430" s="15">
        <v>1.0</v>
      </c>
      <c r="G430" s="15">
        <v>2024.0</v>
      </c>
    </row>
    <row r="431" ht="15.75" customHeight="1">
      <c r="A431" s="15" t="s">
        <v>778</v>
      </c>
      <c r="B431" s="15">
        <v>1.0</v>
      </c>
      <c r="C431" s="15">
        <v>1.0</v>
      </c>
      <c r="D431" s="15">
        <v>0.2</v>
      </c>
      <c r="E431" s="15">
        <v>14.0</v>
      </c>
      <c r="F431" s="15">
        <v>1.0</v>
      </c>
      <c r="G431" s="15">
        <v>2020.0</v>
      </c>
    </row>
    <row r="432" ht="15.75" customHeight="1">
      <c r="A432" s="15" t="s">
        <v>779</v>
      </c>
      <c r="B432" s="15">
        <v>1.0</v>
      </c>
      <c r="C432" s="15">
        <v>1.0</v>
      </c>
      <c r="D432" s="15">
        <v>0.5</v>
      </c>
      <c r="E432" s="15">
        <v>3.0</v>
      </c>
      <c r="F432" s="15">
        <v>1.0</v>
      </c>
      <c r="G432" s="15">
        <v>2023.0</v>
      </c>
    </row>
    <row r="433" ht="15.75" customHeight="1">
      <c r="A433" s="15" t="s">
        <v>780</v>
      </c>
      <c r="B433" s="15">
        <v>1.0</v>
      </c>
      <c r="C433" s="15">
        <v>1.0</v>
      </c>
      <c r="D433" s="15">
        <v>0.5</v>
      </c>
      <c r="E433" s="15">
        <v>3.0</v>
      </c>
      <c r="F433" s="15">
        <v>1.0</v>
      </c>
      <c r="G433" s="15">
        <v>2023.0</v>
      </c>
    </row>
    <row r="434" ht="15.75" customHeight="1">
      <c r="A434" s="15" t="s">
        <v>781</v>
      </c>
      <c r="B434" s="15">
        <v>1.0</v>
      </c>
      <c r="C434" s="15">
        <v>1.0</v>
      </c>
      <c r="D434" s="15">
        <v>0.333333333333333</v>
      </c>
      <c r="E434" s="15">
        <v>2.0</v>
      </c>
      <c r="F434" s="15">
        <v>1.0</v>
      </c>
      <c r="G434" s="15">
        <v>2022.0</v>
      </c>
    </row>
    <row r="435" ht="15.75" customHeight="1">
      <c r="A435" s="15" t="s">
        <v>782</v>
      </c>
      <c r="B435" s="15">
        <v>1.0</v>
      </c>
      <c r="C435" s="15">
        <v>1.0</v>
      </c>
      <c r="D435" s="15">
        <v>0.5</v>
      </c>
      <c r="E435" s="15">
        <v>2.0</v>
      </c>
      <c r="F435" s="15">
        <v>1.0</v>
      </c>
      <c r="G435" s="15">
        <v>2023.0</v>
      </c>
    </row>
    <row r="436" ht="15.75" customHeight="1">
      <c r="A436" s="15" t="s">
        <v>783</v>
      </c>
      <c r="B436" s="15">
        <v>1.0</v>
      </c>
      <c r="C436" s="15">
        <v>1.0</v>
      </c>
      <c r="D436" s="15">
        <v>0.1</v>
      </c>
      <c r="E436" s="15">
        <v>10.0</v>
      </c>
      <c r="F436" s="15">
        <v>1.0</v>
      </c>
      <c r="G436" s="15">
        <v>2015.0</v>
      </c>
    </row>
    <row r="437" ht="15.75" customHeight="1">
      <c r="A437" s="15" t="s">
        <v>784</v>
      </c>
      <c r="B437" s="15">
        <v>1.0</v>
      </c>
      <c r="C437" s="15">
        <v>1.0</v>
      </c>
      <c r="D437" s="15">
        <v>1.0</v>
      </c>
      <c r="E437" s="15">
        <v>2.0</v>
      </c>
      <c r="F437" s="15">
        <v>1.0</v>
      </c>
      <c r="G437" s="15">
        <v>2024.0</v>
      </c>
    </row>
    <row r="438" ht="15.75" customHeight="1">
      <c r="A438" s="15" t="s">
        <v>785</v>
      </c>
      <c r="B438" s="15">
        <v>1.0</v>
      </c>
      <c r="C438" s="15">
        <v>1.0</v>
      </c>
      <c r="D438" s="15">
        <v>0.5</v>
      </c>
      <c r="E438" s="15">
        <v>7.0</v>
      </c>
      <c r="F438" s="15">
        <v>1.0</v>
      </c>
      <c r="G438" s="15">
        <v>2023.0</v>
      </c>
    </row>
    <row r="439" ht="15.75" customHeight="1">
      <c r="A439" s="15" t="s">
        <v>786</v>
      </c>
      <c r="B439" s="15">
        <v>1.0</v>
      </c>
      <c r="C439" s="15">
        <v>1.0</v>
      </c>
      <c r="D439" s="15">
        <v>0.5</v>
      </c>
      <c r="E439" s="15">
        <v>2.0</v>
      </c>
      <c r="F439" s="15">
        <v>1.0</v>
      </c>
      <c r="G439" s="15">
        <v>2023.0</v>
      </c>
    </row>
    <row r="440" ht="15.75" customHeight="1">
      <c r="A440" s="15" t="s">
        <v>787</v>
      </c>
      <c r="B440" s="15">
        <v>1.0</v>
      </c>
      <c r="C440" s="15">
        <v>1.0</v>
      </c>
      <c r="D440" s="15">
        <v>0.333333333333333</v>
      </c>
      <c r="E440" s="15">
        <v>3.0</v>
      </c>
      <c r="F440" s="15">
        <v>1.0</v>
      </c>
      <c r="G440" s="15">
        <v>2022.0</v>
      </c>
    </row>
    <row r="441" ht="15.75" customHeight="1">
      <c r="A441" s="15" t="s">
        <v>788</v>
      </c>
      <c r="B441" s="15">
        <v>1.0</v>
      </c>
      <c r="C441" s="15">
        <v>1.0</v>
      </c>
      <c r="D441" s="15">
        <v>0.25</v>
      </c>
      <c r="E441" s="15">
        <v>5.0</v>
      </c>
      <c r="F441" s="15">
        <v>1.0</v>
      </c>
      <c r="G441" s="15">
        <v>2021.0</v>
      </c>
    </row>
    <row r="442" ht="15.75" customHeight="1">
      <c r="A442" s="15" t="s">
        <v>789</v>
      </c>
      <c r="B442" s="15">
        <v>1.0</v>
      </c>
      <c r="C442" s="15">
        <v>1.0</v>
      </c>
      <c r="D442" s="15">
        <v>1.0</v>
      </c>
      <c r="E442" s="15">
        <v>3.0</v>
      </c>
      <c r="F442" s="15">
        <v>1.0</v>
      </c>
      <c r="G442" s="15">
        <v>2024.0</v>
      </c>
    </row>
    <row r="443" ht="15.75" customHeight="1">
      <c r="A443" s="15" t="s">
        <v>790</v>
      </c>
      <c r="B443" s="15">
        <v>1.0</v>
      </c>
      <c r="C443" s="15">
        <v>1.0</v>
      </c>
      <c r="D443" s="15">
        <v>0.333333333333333</v>
      </c>
      <c r="E443" s="15">
        <v>3.0</v>
      </c>
      <c r="F443" s="15">
        <v>1.0</v>
      </c>
      <c r="G443" s="15">
        <v>2022.0</v>
      </c>
    </row>
    <row r="444" ht="15.75" customHeight="1">
      <c r="A444" s="15" t="s">
        <v>791</v>
      </c>
      <c r="B444" s="15">
        <v>1.0</v>
      </c>
      <c r="C444" s="15">
        <v>1.0</v>
      </c>
      <c r="D444" s="15">
        <v>0.333333333333333</v>
      </c>
      <c r="E444" s="15">
        <v>10.0</v>
      </c>
      <c r="F444" s="15">
        <v>1.0</v>
      </c>
      <c r="G444" s="15">
        <v>2022.0</v>
      </c>
    </row>
    <row r="445" ht="15.75" customHeight="1">
      <c r="A445" s="15" t="s">
        <v>792</v>
      </c>
      <c r="B445" s="15">
        <v>1.0</v>
      </c>
      <c r="C445" s="15">
        <v>1.0</v>
      </c>
      <c r="D445" s="15">
        <v>0.166666666666667</v>
      </c>
      <c r="E445" s="15">
        <v>74.0</v>
      </c>
      <c r="F445" s="15">
        <v>1.0</v>
      </c>
      <c r="G445" s="15">
        <v>2019.0</v>
      </c>
    </row>
    <row r="446" ht="15.75" customHeight="1">
      <c r="A446" s="15" t="s">
        <v>793</v>
      </c>
      <c r="B446" s="15">
        <v>1.0</v>
      </c>
      <c r="C446" s="15">
        <v>1.0</v>
      </c>
      <c r="D446" s="15">
        <v>0.333333333333333</v>
      </c>
      <c r="E446" s="15">
        <v>32.0</v>
      </c>
      <c r="F446" s="15">
        <v>1.0</v>
      </c>
      <c r="G446" s="15">
        <v>2022.0</v>
      </c>
    </row>
    <row r="447" ht="15.75" customHeight="1">
      <c r="A447" s="15" t="s">
        <v>794</v>
      </c>
      <c r="B447" s="15">
        <v>1.0</v>
      </c>
      <c r="C447" s="15">
        <v>1.0</v>
      </c>
      <c r="D447" s="15">
        <v>0.5</v>
      </c>
      <c r="E447" s="15">
        <v>2.0</v>
      </c>
      <c r="F447" s="15">
        <v>1.0</v>
      </c>
      <c r="G447" s="15">
        <v>2023.0</v>
      </c>
    </row>
    <row r="448" ht="15.75" customHeight="1">
      <c r="A448" s="15" t="s">
        <v>795</v>
      </c>
      <c r="B448" s="15">
        <v>1.0</v>
      </c>
      <c r="C448" s="15">
        <v>1.0</v>
      </c>
      <c r="D448" s="15">
        <v>0.0769230769230769</v>
      </c>
      <c r="E448" s="15">
        <v>8.0</v>
      </c>
      <c r="F448" s="15">
        <v>1.0</v>
      </c>
      <c r="G448" s="15">
        <v>2012.0</v>
      </c>
    </row>
    <row r="449" ht="15.75" customHeight="1">
      <c r="A449" s="15" t="s">
        <v>796</v>
      </c>
      <c r="B449" s="15">
        <v>1.0</v>
      </c>
      <c r="C449" s="15">
        <v>1.0</v>
      </c>
      <c r="D449" s="15">
        <v>0.2</v>
      </c>
      <c r="E449" s="15">
        <v>8.0</v>
      </c>
      <c r="F449" s="15">
        <v>1.0</v>
      </c>
      <c r="G449" s="15">
        <v>2020.0</v>
      </c>
    </row>
    <row r="450" ht="15.75" customHeight="1">
      <c r="A450" s="15" t="s">
        <v>797</v>
      </c>
      <c r="B450" s="15">
        <v>1.0</v>
      </c>
      <c r="C450" s="15">
        <v>1.0</v>
      </c>
      <c r="D450" s="15">
        <v>0.25</v>
      </c>
      <c r="E450" s="15">
        <v>19.0</v>
      </c>
      <c r="F450" s="15">
        <v>1.0</v>
      </c>
      <c r="G450" s="15">
        <v>2021.0</v>
      </c>
    </row>
    <row r="451" ht="15.75" customHeight="1">
      <c r="A451" s="15" t="s">
        <v>798</v>
      </c>
      <c r="B451" s="15">
        <v>1.0</v>
      </c>
      <c r="C451" s="15">
        <v>1.0</v>
      </c>
      <c r="D451" s="15">
        <v>0.1</v>
      </c>
      <c r="E451" s="15">
        <v>10.0</v>
      </c>
      <c r="F451" s="15">
        <v>1.0</v>
      </c>
      <c r="G451" s="15">
        <v>2015.0</v>
      </c>
    </row>
    <row r="452" ht="15.75" customHeight="1">
      <c r="A452" s="15" t="s">
        <v>799</v>
      </c>
      <c r="B452" s="15">
        <v>1.0</v>
      </c>
      <c r="C452" s="15">
        <v>1.0</v>
      </c>
      <c r="D452" s="15">
        <v>0.142857142857143</v>
      </c>
      <c r="E452" s="15">
        <v>2.0</v>
      </c>
      <c r="F452" s="15">
        <v>1.0</v>
      </c>
      <c r="G452" s="15">
        <v>2018.0</v>
      </c>
    </row>
    <row r="453" ht="15.75" customHeight="1">
      <c r="A453" s="15" t="s">
        <v>800</v>
      </c>
      <c r="B453" s="15">
        <v>1.0</v>
      </c>
      <c r="C453" s="15">
        <v>1.0</v>
      </c>
      <c r="D453" s="15">
        <v>0.1</v>
      </c>
      <c r="E453" s="15">
        <v>3.0</v>
      </c>
      <c r="F453" s="15">
        <v>1.0</v>
      </c>
      <c r="G453" s="15">
        <v>2015.0</v>
      </c>
    </row>
    <row r="454" ht="15.75" customHeight="1">
      <c r="A454" s="15" t="s">
        <v>801</v>
      </c>
      <c r="B454" s="15">
        <v>1.0</v>
      </c>
      <c r="C454" s="15">
        <v>1.0</v>
      </c>
      <c r="D454" s="15">
        <v>0.2</v>
      </c>
      <c r="E454" s="15">
        <v>9.0</v>
      </c>
      <c r="F454" s="15">
        <v>1.0</v>
      </c>
      <c r="G454" s="15">
        <v>2020.0</v>
      </c>
    </row>
    <row r="455" ht="15.75" customHeight="1">
      <c r="A455" s="15" t="s">
        <v>802</v>
      </c>
      <c r="B455" s="15">
        <v>1.0</v>
      </c>
      <c r="C455" s="15">
        <v>1.0</v>
      </c>
      <c r="D455" s="15">
        <v>0.111111111111111</v>
      </c>
      <c r="E455" s="15">
        <v>28.0</v>
      </c>
      <c r="F455" s="15">
        <v>1.0</v>
      </c>
      <c r="G455" s="15">
        <v>2016.0</v>
      </c>
    </row>
    <row r="456" ht="15.75" customHeight="1">
      <c r="A456" s="15" t="s">
        <v>803</v>
      </c>
      <c r="B456" s="15">
        <v>1.0</v>
      </c>
      <c r="C456" s="15">
        <v>1.0</v>
      </c>
      <c r="D456" s="15">
        <v>0.0769230769230769</v>
      </c>
      <c r="E456" s="15">
        <v>8.0</v>
      </c>
      <c r="F456" s="15">
        <v>1.0</v>
      </c>
      <c r="G456" s="15">
        <v>2012.0</v>
      </c>
    </row>
    <row r="457" ht="15.75" customHeight="1">
      <c r="A457" s="15" t="s">
        <v>804</v>
      </c>
      <c r="B457" s="15">
        <v>1.0</v>
      </c>
      <c r="C457" s="15">
        <v>1.0</v>
      </c>
      <c r="D457" s="15">
        <v>0.0625</v>
      </c>
      <c r="E457" s="15">
        <v>2.0</v>
      </c>
      <c r="F457" s="15">
        <v>1.0</v>
      </c>
      <c r="G457" s="15">
        <v>2009.0</v>
      </c>
    </row>
    <row r="458" ht="15.75" customHeight="1">
      <c r="A458" s="15" t="s">
        <v>805</v>
      </c>
      <c r="B458" s="15">
        <v>1.0</v>
      </c>
      <c r="C458" s="15">
        <v>1.0</v>
      </c>
      <c r="D458" s="15">
        <v>0.0769230769230769</v>
      </c>
      <c r="E458" s="15">
        <v>1.0</v>
      </c>
      <c r="F458" s="15">
        <v>1.0</v>
      </c>
      <c r="G458" s="15">
        <v>2012.0</v>
      </c>
    </row>
    <row r="459" ht="15.75" customHeight="1">
      <c r="A459" s="15" t="s">
        <v>806</v>
      </c>
      <c r="B459" s="15">
        <v>1.0</v>
      </c>
      <c r="C459" s="15">
        <v>1.0</v>
      </c>
      <c r="D459" s="15">
        <v>0.5</v>
      </c>
      <c r="E459" s="15">
        <v>2.0</v>
      </c>
      <c r="F459" s="15">
        <v>1.0</v>
      </c>
      <c r="G459" s="15">
        <v>2023.0</v>
      </c>
    </row>
    <row r="460" ht="15.75" customHeight="1">
      <c r="A460" s="15" t="s">
        <v>807</v>
      </c>
      <c r="B460" s="15">
        <v>1.0</v>
      </c>
      <c r="C460" s="15">
        <v>1.0</v>
      </c>
      <c r="D460" s="15">
        <v>0.166666666666667</v>
      </c>
      <c r="E460" s="15">
        <v>9.0</v>
      </c>
      <c r="F460" s="15">
        <v>1.0</v>
      </c>
      <c r="G460" s="15">
        <v>2019.0</v>
      </c>
    </row>
    <row r="461" ht="15.75" customHeight="1">
      <c r="A461" s="15" t="s">
        <v>808</v>
      </c>
      <c r="B461" s="15">
        <v>1.0</v>
      </c>
      <c r="C461" s="15">
        <v>1.0</v>
      </c>
      <c r="D461" s="15">
        <v>0.25</v>
      </c>
      <c r="E461" s="15">
        <v>21.0</v>
      </c>
      <c r="F461" s="15">
        <v>1.0</v>
      </c>
      <c r="G461" s="15">
        <v>2021.0</v>
      </c>
    </row>
    <row r="462" ht="15.75" customHeight="1">
      <c r="A462" s="15" t="s">
        <v>809</v>
      </c>
      <c r="B462" s="15">
        <v>1.0</v>
      </c>
      <c r="C462" s="15">
        <v>1.0</v>
      </c>
      <c r="D462" s="15">
        <v>0.333333333333333</v>
      </c>
      <c r="E462" s="15">
        <v>3.0</v>
      </c>
      <c r="F462" s="15">
        <v>1.0</v>
      </c>
      <c r="G462" s="15">
        <v>2022.0</v>
      </c>
    </row>
    <row r="463" ht="15.75" customHeight="1">
      <c r="A463" s="15" t="s">
        <v>810</v>
      </c>
      <c r="B463" s="15">
        <v>1.0</v>
      </c>
      <c r="C463" s="15">
        <v>1.0</v>
      </c>
      <c r="D463" s="15">
        <v>0.333333333333333</v>
      </c>
      <c r="E463" s="15">
        <v>11.0</v>
      </c>
      <c r="F463" s="15">
        <v>1.0</v>
      </c>
      <c r="G463" s="15">
        <v>2022.0</v>
      </c>
    </row>
    <row r="464" ht="15.75" customHeight="1">
      <c r="A464" s="15" t="s">
        <v>811</v>
      </c>
      <c r="B464" s="15">
        <v>1.0</v>
      </c>
      <c r="C464" s="15">
        <v>1.0</v>
      </c>
      <c r="D464" s="15">
        <v>0.333333333333333</v>
      </c>
      <c r="E464" s="15">
        <v>6.0</v>
      </c>
      <c r="F464" s="15">
        <v>1.0</v>
      </c>
      <c r="G464" s="15">
        <v>2022.0</v>
      </c>
    </row>
    <row r="465" ht="15.75" customHeight="1">
      <c r="A465" s="15" t="s">
        <v>812</v>
      </c>
      <c r="B465" s="15">
        <v>1.0</v>
      </c>
      <c r="C465" s="15">
        <v>1.0</v>
      </c>
      <c r="D465" s="15">
        <v>0.25</v>
      </c>
      <c r="E465" s="15">
        <v>4.0</v>
      </c>
      <c r="F465" s="15">
        <v>1.0</v>
      </c>
      <c r="G465" s="15">
        <v>2021.0</v>
      </c>
    </row>
    <row r="466" ht="15.75" customHeight="1">
      <c r="A466" s="15" t="s">
        <v>813</v>
      </c>
      <c r="B466" s="15">
        <v>1.0</v>
      </c>
      <c r="C466" s="15">
        <v>1.0</v>
      </c>
      <c r="D466" s="15">
        <v>0.166666666666667</v>
      </c>
      <c r="E466" s="15">
        <v>4.0</v>
      </c>
      <c r="F466" s="15">
        <v>1.0</v>
      </c>
      <c r="G466" s="15">
        <v>2019.0</v>
      </c>
    </row>
    <row r="467" ht="15.75" customHeight="1">
      <c r="A467" s="15" t="s">
        <v>814</v>
      </c>
      <c r="B467" s="15">
        <v>1.0</v>
      </c>
      <c r="C467" s="15">
        <v>1.0</v>
      </c>
      <c r="D467" s="15">
        <v>0.5</v>
      </c>
      <c r="E467" s="15">
        <v>3.0</v>
      </c>
      <c r="F467" s="15">
        <v>1.0</v>
      </c>
      <c r="G467" s="15">
        <v>2023.0</v>
      </c>
    </row>
    <row r="468" ht="15.75" customHeight="1">
      <c r="A468" s="15" t="s">
        <v>815</v>
      </c>
      <c r="B468" s="15">
        <v>1.0</v>
      </c>
      <c r="C468" s="15">
        <v>1.0</v>
      </c>
      <c r="D468" s="15">
        <v>0.25</v>
      </c>
      <c r="E468" s="15">
        <v>19.0</v>
      </c>
      <c r="F468" s="15">
        <v>1.0</v>
      </c>
      <c r="G468" s="15">
        <v>2021.0</v>
      </c>
    </row>
    <row r="469" ht="15.75" customHeight="1">
      <c r="A469" s="15" t="s">
        <v>816</v>
      </c>
      <c r="B469" s="15">
        <v>1.0</v>
      </c>
      <c r="C469" s="15">
        <v>1.0</v>
      </c>
      <c r="D469" s="15">
        <v>0.2</v>
      </c>
      <c r="E469" s="15">
        <v>2.0</v>
      </c>
      <c r="F469" s="15">
        <v>1.0</v>
      </c>
      <c r="G469" s="15">
        <v>2020.0</v>
      </c>
    </row>
    <row r="470" ht="15.75" customHeight="1">
      <c r="A470" s="15" t="s">
        <v>817</v>
      </c>
      <c r="B470" s="15">
        <v>1.0</v>
      </c>
      <c r="C470" s="15">
        <v>1.0</v>
      </c>
      <c r="D470" s="15">
        <v>0.333333333333333</v>
      </c>
      <c r="E470" s="15">
        <v>6.0</v>
      </c>
      <c r="F470" s="15">
        <v>1.0</v>
      </c>
      <c r="G470" s="15">
        <v>2022.0</v>
      </c>
    </row>
    <row r="471" ht="15.75" customHeight="1">
      <c r="A471" s="15" t="s">
        <v>818</v>
      </c>
      <c r="B471" s="15">
        <v>1.0</v>
      </c>
      <c r="C471" s="15">
        <v>1.0</v>
      </c>
      <c r="D471" s="15">
        <v>0.5</v>
      </c>
      <c r="E471" s="15">
        <v>13.0</v>
      </c>
      <c r="F471" s="15">
        <v>1.0</v>
      </c>
      <c r="G471" s="15">
        <v>2023.0</v>
      </c>
    </row>
    <row r="472" ht="15.75" customHeight="1">
      <c r="A472" s="15" t="s">
        <v>819</v>
      </c>
      <c r="B472" s="15">
        <v>1.0</v>
      </c>
      <c r="C472" s="15">
        <v>1.0</v>
      </c>
      <c r="D472" s="15">
        <v>1.0</v>
      </c>
      <c r="E472" s="15">
        <v>2.0</v>
      </c>
      <c r="F472" s="15">
        <v>1.0</v>
      </c>
      <c r="G472" s="15">
        <v>2024.0</v>
      </c>
    </row>
    <row r="473" ht="15.75" customHeight="1">
      <c r="A473" s="15" t="s">
        <v>820</v>
      </c>
      <c r="B473" s="15">
        <v>1.0</v>
      </c>
      <c r="C473" s="15">
        <v>1.0</v>
      </c>
      <c r="D473" s="15">
        <v>0.2</v>
      </c>
      <c r="E473" s="15">
        <v>130.0</v>
      </c>
      <c r="F473" s="15">
        <v>1.0</v>
      </c>
      <c r="G473" s="15">
        <v>2020.0</v>
      </c>
    </row>
    <row r="474" ht="15.75" customHeight="1">
      <c r="A474" s="15" t="s">
        <v>821</v>
      </c>
      <c r="B474" s="15">
        <v>1.0</v>
      </c>
      <c r="C474" s="15">
        <v>1.0</v>
      </c>
      <c r="D474" s="15">
        <v>0.166666666666667</v>
      </c>
      <c r="E474" s="15">
        <v>1.0</v>
      </c>
      <c r="F474" s="15">
        <v>1.0</v>
      </c>
      <c r="G474" s="15">
        <v>2019.0</v>
      </c>
    </row>
    <row r="475" ht="15.75" customHeight="1">
      <c r="A475" s="15" t="s">
        <v>822</v>
      </c>
      <c r="B475" s="15">
        <v>1.0</v>
      </c>
      <c r="C475" s="15">
        <v>1.0</v>
      </c>
      <c r="D475" s="15">
        <v>0.111111111111111</v>
      </c>
      <c r="E475" s="15">
        <v>14.0</v>
      </c>
      <c r="F475" s="15">
        <v>1.0</v>
      </c>
      <c r="G475" s="15">
        <v>2016.0</v>
      </c>
    </row>
    <row r="476" ht="15.75" customHeight="1">
      <c r="A476" s="15" t="s">
        <v>823</v>
      </c>
      <c r="B476" s="15">
        <v>1.0</v>
      </c>
      <c r="C476" s="15">
        <v>1.0</v>
      </c>
      <c r="D476" s="15">
        <v>0.5</v>
      </c>
      <c r="E476" s="15">
        <v>2.0</v>
      </c>
      <c r="F476" s="15">
        <v>1.0</v>
      </c>
      <c r="G476" s="15">
        <v>2023.0</v>
      </c>
    </row>
    <row r="477" ht="15.75" customHeight="1">
      <c r="A477" s="15" t="s">
        <v>824</v>
      </c>
      <c r="B477" s="15">
        <v>1.0</v>
      </c>
      <c r="C477" s="15">
        <v>1.0</v>
      </c>
      <c r="D477" s="15">
        <v>0.333333333333333</v>
      </c>
      <c r="E477" s="15">
        <v>56.0</v>
      </c>
      <c r="F477" s="15">
        <v>1.0</v>
      </c>
      <c r="G477" s="15">
        <v>2022.0</v>
      </c>
    </row>
    <row r="478" ht="15.75" customHeight="1">
      <c r="A478" s="15" t="s">
        <v>825</v>
      </c>
      <c r="B478" s="15">
        <v>1.0</v>
      </c>
      <c r="C478" s="15">
        <v>1.0</v>
      </c>
      <c r="D478" s="15">
        <v>0.25</v>
      </c>
      <c r="E478" s="15">
        <v>58.0</v>
      </c>
      <c r="F478" s="15">
        <v>1.0</v>
      </c>
      <c r="G478" s="15">
        <v>2021.0</v>
      </c>
    </row>
    <row r="479" ht="15.75" customHeight="1">
      <c r="A479" s="15" t="s">
        <v>826</v>
      </c>
      <c r="B479" s="15">
        <v>1.0</v>
      </c>
      <c r="C479" s="15">
        <v>1.0</v>
      </c>
      <c r="D479" s="15">
        <v>0.5</v>
      </c>
      <c r="E479" s="15">
        <v>5.0</v>
      </c>
      <c r="F479" s="15">
        <v>1.0</v>
      </c>
      <c r="G479" s="15">
        <v>2023.0</v>
      </c>
    </row>
    <row r="480" ht="15.75" customHeight="1">
      <c r="A480" s="15" t="s">
        <v>827</v>
      </c>
      <c r="B480" s="15">
        <v>1.0</v>
      </c>
      <c r="C480" s="15">
        <v>1.0</v>
      </c>
      <c r="D480" s="15">
        <v>0.111111111111111</v>
      </c>
      <c r="E480" s="15">
        <v>4.0</v>
      </c>
      <c r="F480" s="15">
        <v>1.0</v>
      </c>
      <c r="G480" s="15">
        <v>2016.0</v>
      </c>
    </row>
    <row r="481" ht="15.75" customHeight="1">
      <c r="A481" s="15" t="s">
        <v>828</v>
      </c>
      <c r="B481" s="15">
        <v>1.0</v>
      </c>
      <c r="C481" s="15">
        <v>1.0</v>
      </c>
      <c r="D481" s="15">
        <v>0.142857142857143</v>
      </c>
      <c r="E481" s="15">
        <v>41.0</v>
      </c>
      <c r="F481" s="15">
        <v>1.0</v>
      </c>
      <c r="G481" s="15">
        <v>2018.0</v>
      </c>
    </row>
    <row r="482" ht="15.75" customHeight="1">
      <c r="A482" s="15" t="s">
        <v>829</v>
      </c>
      <c r="B482" s="15">
        <v>1.0</v>
      </c>
      <c r="C482" s="15">
        <v>1.0</v>
      </c>
      <c r="D482" s="15">
        <v>1.0</v>
      </c>
      <c r="E482" s="15">
        <v>5.0</v>
      </c>
      <c r="F482" s="15">
        <v>1.0</v>
      </c>
      <c r="G482" s="15">
        <v>2024.0</v>
      </c>
    </row>
    <row r="483" ht="15.75" customHeight="1">
      <c r="A483" s="15" t="s">
        <v>830</v>
      </c>
      <c r="B483" s="15">
        <v>1.0</v>
      </c>
      <c r="C483" s="15">
        <v>1.0</v>
      </c>
      <c r="D483" s="15">
        <v>0.0526315789473684</v>
      </c>
      <c r="E483" s="15">
        <v>10.0</v>
      </c>
      <c r="F483" s="15">
        <v>1.0</v>
      </c>
      <c r="G483" s="15">
        <v>2006.0</v>
      </c>
    </row>
    <row r="484" ht="15.75" customHeight="1">
      <c r="A484" s="15" t="s">
        <v>831</v>
      </c>
      <c r="B484" s="15">
        <v>1.0</v>
      </c>
      <c r="C484" s="15">
        <v>1.0</v>
      </c>
      <c r="D484" s="15">
        <v>0.25</v>
      </c>
      <c r="E484" s="15">
        <v>15.0</v>
      </c>
      <c r="F484" s="15">
        <v>1.0</v>
      </c>
      <c r="G484" s="15">
        <v>2021.0</v>
      </c>
    </row>
    <row r="485" ht="15.75" customHeight="1">
      <c r="A485" s="15" t="s">
        <v>832</v>
      </c>
      <c r="B485" s="15">
        <v>1.0</v>
      </c>
      <c r="C485" s="15">
        <v>1.0</v>
      </c>
      <c r="D485" s="15">
        <v>0.2</v>
      </c>
      <c r="E485" s="15">
        <v>21.0</v>
      </c>
      <c r="F485" s="15">
        <v>1.0</v>
      </c>
      <c r="G485" s="15">
        <v>2020.0</v>
      </c>
    </row>
    <row r="486" ht="15.75" customHeight="1">
      <c r="A486" s="15" t="s">
        <v>833</v>
      </c>
      <c r="B486" s="15">
        <v>1.0</v>
      </c>
      <c r="C486" s="15">
        <v>1.0</v>
      </c>
      <c r="D486" s="15">
        <v>0.2</v>
      </c>
      <c r="E486" s="15">
        <v>35.0</v>
      </c>
      <c r="F486" s="15">
        <v>1.0</v>
      </c>
      <c r="G486" s="15">
        <v>2020.0</v>
      </c>
    </row>
    <row r="487" ht="15.75" customHeight="1">
      <c r="A487" s="15" t="s">
        <v>834</v>
      </c>
      <c r="B487" s="15">
        <v>1.0</v>
      </c>
      <c r="C487" s="15">
        <v>1.0</v>
      </c>
      <c r="D487" s="15">
        <v>1.0</v>
      </c>
      <c r="E487" s="15">
        <v>1.0</v>
      </c>
      <c r="F487" s="15">
        <v>1.0</v>
      </c>
      <c r="G487" s="15">
        <v>2024.0</v>
      </c>
    </row>
    <row r="488" ht="15.75" customHeight="1">
      <c r="A488" s="15" t="s">
        <v>835</v>
      </c>
      <c r="B488" s="15">
        <v>1.0</v>
      </c>
      <c r="C488" s="15">
        <v>1.0</v>
      </c>
      <c r="D488" s="15">
        <v>0.25</v>
      </c>
      <c r="E488" s="15">
        <v>15.0</v>
      </c>
      <c r="F488" s="15">
        <v>1.0</v>
      </c>
      <c r="G488" s="15">
        <v>2021.0</v>
      </c>
    </row>
    <row r="489" ht="15.75" customHeight="1">
      <c r="A489" s="15" t="s">
        <v>836</v>
      </c>
      <c r="B489" s="15">
        <v>1.0</v>
      </c>
      <c r="C489" s="15">
        <v>1.0</v>
      </c>
      <c r="D489" s="15">
        <v>0.25</v>
      </c>
      <c r="E489" s="15">
        <v>12.0</v>
      </c>
      <c r="F489" s="15">
        <v>1.0</v>
      </c>
      <c r="G489" s="15">
        <v>2021.0</v>
      </c>
    </row>
    <row r="490" ht="15.75" customHeight="1">
      <c r="A490" s="15" t="s">
        <v>837</v>
      </c>
      <c r="B490" s="15">
        <v>1.0</v>
      </c>
      <c r="C490" s="15">
        <v>1.0</v>
      </c>
      <c r="D490" s="15">
        <v>0.25</v>
      </c>
      <c r="E490" s="15">
        <v>3.0</v>
      </c>
      <c r="F490" s="15">
        <v>1.0</v>
      </c>
      <c r="G490" s="15">
        <v>2021.0</v>
      </c>
    </row>
    <row r="491" ht="15.75" customHeight="1">
      <c r="A491" s="15" t="s">
        <v>838</v>
      </c>
      <c r="B491" s="15">
        <v>1.0</v>
      </c>
      <c r="C491" s="15">
        <v>1.0</v>
      </c>
      <c r="D491" s="15">
        <v>0.333333333333333</v>
      </c>
      <c r="E491" s="15">
        <v>10.0</v>
      </c>
      <c r="F491" s="15">
        <v>1.0</v>
      </c>
      <c r="G491" s="15">
        <v>2022.0</v>
      </c>
    </row>
    <row r="492" ht="15.75" customHeight="1">
      <c r="A492" s="15" t="s">
        <v>839</v>
      </c>
      <c r="B492" s="15">
        <v>1.0</v>
      </c>
      <c r="C492" s="15">
        <v>1.0</v>
      </c>
      <c r="D492" s="15">
        <v>0.5</v>
      </c>
      <c r="E492" s="15">
        <v>3.0</v>
      </c>
      <c r="F492" s="15">
        <v>1.0</v>
      </c>
      <c r="G492" s="15">
        <v>2023.0</v>
      </c>
    </row>
    <row r="493" ht="15.75" customHeight="1">
      <c r="A493" s="15" t="s">
        <v>840</v>
      </c>
      <c r="B493" s="15">
        <v>1.0</v>
      </c>
      <c r="C493" s="15">
        <v>1.0</v>
      </c>
      <c r="D493" s="15">
        <v>0.0833333333333333</v>
      </c>
      <c r="E493" s="15">
        <v>5.0</v>
      </c>
      <c r="F493" s="15">
        <v>1.0</v>
      </c>
      <c r="G493" s="15">
        <v>2013.0</v>
      </c>
    </row>
    <row r="494" ht="15.75" customHeight="1">
      <c r="A494" s="15" t="s">
        <v>841</v>
      </c>
      <c r="B494" s="15">
        <v>1.0</v>
      </c>
      <c r="C494" s="15">
        <v>1.0</v>
      </c>
      <c r="D494" s="15">
        <v>0.5</v>
      </c>
      <c r="E494" s="15">
        <v>2.0</v>
      </c>
      <c r="F494" s="15">
        <v>1.0</v>
      </c>
      <c r="G494" s="15">
        <v>2023.0</v>
      </c>
    </row>
    <row r="495" ht="15.75" customHeight="1">
      <c r="A495" s="15" t="s">
        <v>842</v>
      </c>
      <c r="B495" s="15">
        <v>1.0</v>
      </c>
      <c r="C495" s="15">
        <v>1.0</v>
      </c>
      <c r="D495" s="15">
        <v>0.333333333333333</v>
      </c>
      <c r="E495" s="15">
        <v>3.0</v>
      </c>
      <c r="F495" s="15">
        <v>1.0</v>
      </c>
      <c r="G495" s="15">
        <v>2022.0</v>
      </c>
    </row>
    <row r="496" ht="15.75" customHeight="1">
      <c r="A496" s="15" t="s">
        <v>843</v>
      </c>
      <c r="B496" s="15">
        <v>1.0</v>
      </c>
      <c r="C496" s="15">
        <v>1.0</v>
      </c>
      <c r="D496" s="15">
        <v>0.111111111111111</v>
      </c>
      <c r="E496" s="15">
        <v>9.0</v>
      </c>
      <c r="F496" s="15">
        <v>1.0</v>
      </c>
      <c r="G496" s="15">
        <v>2016.0</v>
      </c>
    </row>
    <row r="497" ht="15.75" customHeight="1">
      <c r="A497" s="15" t="s">
        <v>844</v>
      </c>
      <c r="B497" s="15">
        <v>1.0</v>
      </c>
      <c r="C497" s="15">
        <v>1.0</v>
      </c>
      <c r="D497" s="15">
        <v>1.0</v>
      </c>
      <c r="E497" s="15">
        <v>5.0</v>
      </c>
      <c r="F497" s="15">
        <v>1.0</v>
      </c>
      <c r="G497" s="15">
        <v>2024.0</v>
      </c>
    </row>
    <row r="498" ht="15.75" customHeight="1">
      <c r="A498" s="15" t="s">
        <v>845</v>
      </c>
      <c r="B498" s="15">
        <v>1.0</v>
      </c>
      <c r="C498" s="15">
        <v>1.0</v>
      </c>
      <c r="D498" s="15">
        <v>0.0588235294117647</v>
      </c>
      <c r="E498" s="15">
        <v>17.0</v>
      </c>
      <c r="F498" s="15">
        <v>1.0</v>
      </c>
      <c r="G498" s="15">
        <v>2008.0</v>
      </c>
    </row>
    <row r="499" ht="15.75" customHeight="1">
      <c r="A499" s="15" t="s">
        <v>846</v>
      </c>
      <c r="B499" s="15">
        <v>1.0</v>
      </c>
      <c r="C499" s="15">
        <v>1.0</v>
      </c>
      <c r="D499" s="15">
        <v>1.0</v>
      </c>
      <c r="E499" s="15">
        <v>1.0</v>
      </c>
      <c r="F499" s="15">
        <v>1.0</v>
      </c>
      <c r="G499" s="15">
        <v>2024.0</v>
      </c>
    </row>
    <row r="500" ht="15.75" customHeight="1">
      <c r="A500" s="15" t="s">
        <v>847</v>
      </c>
      <c r="B500" s="15">
        <v>1.0</v>
      </c>
      <c r="C500" s="15">
        <v>1.0</v>
      </c>
      <c r="D500" s="15">
        <v>0.5</v>
      </c>
      <c r="E500" s="15">
        <v>19.0</v>
      </c>
      <c r="F500" s="15">
        <v>1.0</v>
      </c>
      <c r="G500" s="15">
        <v>2023.0</v>
      </c>
    </row>
    <row r="501" ht="15.75" customHeight="1">
      <c r="A501" s="15" t="s">
        <v>848</v>
      </c>
      <c r="B501" s="15">
        <v>1.0</v>
      </c>
      <c r="C501" s="15">
        <v>1.0</v>
      </c>
      <c r="D501" s="15">
        <v>0.333333333333333</v>
      </c>
      <c r="E501" s="15">
        <v>2.0</v>
      </c>
      <c r="F501" s="15">
        <v>1.0</v>
      </c>
      <c r="G501" s="15">
        <v>2022.0</v>
      </c>
    </row>
    <row r="502" ht="15.75" customHeight="1">
      <c r="A502" s="15" t="s">
        <v>849</v>
      </c>
      <c r="B502" s="15">
        <v>1.0</v>
      </c>
      <c r="C502" s="15">
        <v>1.0</v>
      </c>
      <c r="D502" s="15">
        <v>0.5</v>
      </c>
      <c r="E502" s="15">
        <v>2.0</v>
      </c>
      <c r="F502" s="15">
        <v>1.0</v>
      </c>
      <c r="G502" s="15">
        <v>2023.0</v>
      </c>
    </row>
    <row r="503" ht="15.75" customHeight="1">
      <c r="A503" s="15" t="s">
        <v>850</v>
      </c>
      <c r="B503" s="15">
        <v>1.0</v>
      </c>
      <c r="C503" s="15">
        <v>1.0</v>
      </c>
      <c r="D503" s="15">
        <v>0.2</v>
      </c>
      <c r="E503" s="15">
        <v>6.0</v>
      </c>
      <c r="F503" s="15">
        <v>1.0</v>
      </c>
      <c r="G503" s="15">
        <v>2020.0</v>
      </c>
    </row>
    <row r="504" ht="15.75" customHeight="1">
      <c r="A504" s="15" t="s">
        <v>851</v>
      </c>
      <c r="B504" s="15">
        <v>1.0</v>
      </c>
      <c r="C504" s="15">
        <v>1.0</v>
      </c>
      <c r="D504" s="15">
        <v>1.0</v>
      </c>
      <c r="E504" s="15">
        <v>2.0</v>
      </c>
      <c r="F504" s="15">
        <v>1.0</v>
      </c>
      <c r="G504" s="15">
        <v>2024.0</v>
      </c>
    </row>
    <row r="505" ht="15.75" customHeight="1">
      <c r="A505" s="15" t="s">
        <v>852</v>
      </c>
      <c r="B505" s="15">
        <v>1.0</v>
      </c>
      <c r="C505" s="15">
        <v>1.0</v>
      </c>
      <c r="D505" s="15">
        <v>0.25</v>
      </c>
      <c r="E505" s="15">
        <v>1.0</v>
      </c>
      <c r="F505" s="15">
        <v>1.0</v>
      </c>
      <c r="G505" s="15">
        <v>2021.0</v>
      </c>
    </row>
    <row r="506" ht="15.75" customHeight="1">
      <c r="A506" s="15" t="s">
        <v>853</v>
      </c>
      <c r="B506" s="15">
        <v>1.0</v>
      </c>
      <c r="C506" s="15">
        <v>1.0</v>
      </c>
      <c r="D506" s="15">
        <v>1.0</v>
      </c>
      <c r="E506" s="15">
        <v>2.0</v>
      </c>
      <c r="F506" s="15">
        <v>1.0</v>
      </c>
      <c r="G506" s="15">
        <v>2024.0</v>
      </c>
    </row>
    <row r="507" ht="15.75" customHeight="1">
      <c r="A507" s="15" t="s">
        <v>854</v>
      </c>
      <c r="B507" s="15">
        <v>1.0</v>
      </c>
      <c r="C507" s="15">
        <v>1.0</v>
      </c>
      <c r="D507" s="15">
        <v>1.0</v>
      </c>
      <c r="E507" s="15">
        <v>2.0</v>
      </c>
      <c r="F507" s="15">
        <v>1.0</v>
      </c>
      <c r="G507" s="15">
        <v>2024.0</v>
      </c>
    </row>
    <row r="508" ht="15.75" customHeight="1">
      <c r="A508" s="15" t="s">
        <v>855</v>
      </c>
      <c r="B508" s="15">
        <v>1.0</v>
      </c>
      <c r="C508" s="15">
        <v>1.0</v>
      </c>
      <c r="D508" s="15">
        <v>0.166666666666667</v>
      </c>
      <c r="E508" s="15">
        <v>1.0</v>
      </c>
      <c r="F508" s="15">
        <v>1.0</v>
      </c>
      <c r="G508" s="15">
        <v>2019.0</v>
      </c>
    </row>
    <row r="509" ht="15.75" customHeight="1">
      <c r="A509" s="15" t="s">
        <v>856</v>
      </c>
      <c r="B509" s="15">
        <v>1.0</v>
      </c>
      <c r="C509" s="15">
        <v>1.0</v>
      </c>
      <c r="D509" s="15">
        <v>0.166666666666667</v>
      </c>
      <c r="E509" s="15">
        <v>4.0</v>
      </c>
      <c r="F509" s="15">
        <v>1.0</v>
      </c>
      <c r="G509" s="15">
        <v>2019.0</v>
      </c>
    </row>
    <row r="510" ht="15.75" customHeight="1">
      <c r="A510" s="15" t="s">
        <v>857</v>
      </c>
      <c r="B510" s="15">
        <v>1.0</v>
      </c>
      <c r="C510" s="15">
        <v>1.0</v>
      </c>
      <c r="D510" s="15">
        <v>0.166666666666667</v>
      </c>
      <c r="E510" s="15">
        <v>1.0</v>
      </c>
      <c r="F510" s="15">
        <v>1.0</v>
      </c>
      <c r="G510" s="15">
        <v>2019.0</v>
      </c>
    </row>
    <row r="511" ht="15.75" customHeight="1">
      <c r="A511" s="15" t="s">
        <v>858</v>
      </c>
      <c r="B511" s="15">
        <v>1.0</v>
      </c>
      <c r="C511" s="15">
        <v>1.0</v>
      </c>
      <c r="D511" s="15">
        <v>0.166666666666667</v>
      </c>
      <c r="E511" s="15">
        <v>1.0</v>
      </c>
      <c r="F511" s="15">
        <v>1.0</v>
      </c>
      <c r="G511" s="15">
        <v>2019.0</v>
      </c>
    </row>
    <row r="512" ht="15.75" customHeight="1">
      <c r="A512" s="15" t="s">
        <v>859</v>
      </c>
      <c r="B512" s="15">
        <v>1.0</v>
      </c>
      <c r="C512" s="15">
        <v>1.0</v>
      </c>
      <c r="D512" s="15">
        <v>0.2</v>
      </c>
      <c r="E512" s="15">
        <v>11.0</v>
      </c>
      <c r="F512" s="15">
        <v>1.0</v>
      </c>
      <c r="G512" s="15">
        <v>2020.0</v>
      </c>
    </row>
    <row r="513" ht="15.75" customHeight="1">
      <c r="A513" s="15" t="s">
        <v>860</v>
      </c>
      <c r="B513" s="15">
        <v>1.0</v>
      </c>
      <c r="C513" s="15">
        <v>1.0</v>
      </c>
      <c r="D513" s="15">
        <v>0.0769230769230769</v>
      </c>
      <c r="E513" s="15">
        <v>4.0</v>
      </c>
      <c r="F513" s="15">
        <v>1.0</v>
      </c>
      <c r="G513" s="15">
        <v>2012.0</v>
      </c>
    </row>
    <row r="514" ht="15.75" customHeight="1">
      <c r="A514" s="15" t="s">
        <v>861</v>
      </c>
      <c r="B514" s="15">
        <v>1.0</v>
      </c>
      <c r="C514" s="15">
        <v>1.0</v>
      </c>
      <c r="D514" s="15">
        <v>0.25</v>
      </c>
      <c r="E514" s="15">
        <v>4.0</v>
      </c>
      <c r="F514" s="15">
        <v>1.0</v>
      </c>
      <c r="G514" s="15">
        <v>2021.0</v>
      </c>
    </row>
    <row r="515" ht="15.75" customHeight="1">
      <c r="A515" s="15" t="s">
        <v>862</v>
      </c>
      <c r="B515" s="15">
        <v>1.0</v>
      </c>
      <c r="C515" s="15">
        <v>1.0</v>
      </c>
      <c r="D515" s="15">
        <v>0.2</v>
      </c>
      <c r="E515" s="15">
        <v>5.0</v>
      </c>
      <c r="F515" s="15">
        <v>1.0</v>
      </c>
      <c r="G515" s="15">
        <v>2020.0</v>
      </c>
    </row>
    <row r="516" ht="15.75" customHeight="1">
      <c r="A516" s="15" t="s">
        <v>863</v>
      </c>
      <c r="B516" s="15">
        <v>1.0</v>
      </c>
      <c r="C516" s="15">
        <v>1.0</v>
      </c>
      <c r="D516" s="15">
        <v>0.5</v>
      </c>
      <c r="E516" s="15">
        <v>16.0</v>
      </c>
      <c r="F516" s="15">
        <v>1.0</v>
      </c>
      <c r="G516" s="15">
        <v>2023.0</v>
      </c>
    </row>
    <row r="517" ht="15.75" customHeight="1">
      <c r="A517" s="15" t="s">
        <v>864</v>
      </c>
      <c r="B517" s="15">
        <v>1.0</v>
      </c>
      <c r="C517" s="15">
        <v>1.0</v>
      </c>
      <c r="D517" s="15">
        <v>0.333333333333333</v>
      </c>
      <c r="E517" s="15">
        <v>1.0</v>
      </c>
      <c r="F517" s="15">
        <v>1.0</v>
      </c>
      <c r="G517" s="15">
        <v>2022.0</v>
      </c>
    </row>
    <row r="518" ht="15.75" customHeight="1">
      <c r="A518" s="15" t="s">
        <v>865</v>
      </c>
      <c r="B518" s="15">
        <v>1.0</v>
      </c>
      <c r="C518" s="15">
        <v>1.0</v>
      </c>
      <c r="D518" s="15">
        <v>0.333333333333333</v>
      </c>
      <c r="E518" s="15">
        <v>10.0</v>
      </c>
      <c r="F518" s="15">
        <v>1.0</v>
      </c>
      <c r="G518" s="15">
        <v>2022.0</v>
      </c>
    </row>
    <row r="519" ht="15.75" customHeight="1">
      <c r="A519" s="15" t="s">
        <v>866</v>
      </c>
      <c r="B519" s="15">
        <v>1.0</v>
      </c>
      <c r="C519" s="15">
        <v>1.0</v>
      </c>
      <c r="D519" s="15">
        <v>0.2</v>
      </c>
      <c r="E519" s="15">
        <v>15.0</v>
      </c>
      <c r="F519" s="15">
        <v>1.0</v>
      </c>
      <c r="G519" s="15">
        <v>2020.0</v>
      </c>
    </row>
    <row r="520" ht="15.75" customHeight="1">
      <c r="A520" s="15" t="s">
        <v>867</v>
      </c>
      <c r="B520" s="15">
        <v>1.0</v>
      </c>
      <c r="C520" s="15">
        <v>1.0</v>
      </c>
      <c r="D520" s="15">
        <v>0.2</v>
      </c>
      <c r="E520" s="15">
        <v>14.0</v>
      </c>
      <c r="F520" s="15">
        <v>1.0</v>
      </c>
      <c r="G520" s="15">
        <v>2020.0</v>
      </c>
    </row>
    <row r="521" ht="15.75" customHeight="1">
      <c r="A521" s="15" t="s">
        <v>868</v>
      </c>
      <c r="B521" s="15">
        <v>1.0</v>
      </c>
      <c r="C521" s="15">
        <v>1.0</v>
      </c>
      <c r="D521" s="15">
        <v>0.333333333333333</v>
      </c>
      <c r="E521" s="15">
        <v>1.0</v>
      </c>
      <c r="F521" s="15">
        <v>1.0</v>
      </c>
      <c r="G521" s="15">
        <v>2022.0</v>
      </c>
    </row>
    <row r="522" ht="15.75" customHeight="1">
      <c r="A522" s="15" t="s">
        <v>869</v>
      </c>
      <c r="B522" s="15">
        <v>1.0</v>
      </c>
      <c r="C522" s="15">
        <v>1.0</v>
      </c>
      <c r="D522" s="15">
        <v>0.5</v>
      </c>
      <c r="E522" s="15">
        <v>5.0</v>
      </c>
      <c r="F522" s="15">
        <v>1.0</v>
      </c>
      <c r="G522" s="15">
        <v>2023.0</v>
      </c>
    </row>
    <row r="523" ht="15.75" customHeight="1">
      <c r="A523" s="15" t="s">
        <v>870</v>
      </c>
      <c r="B523" s="15">
        <v>1.0</v>
      </c>
      <c r="C523" s="15">
        <v>1.0</v>
      </c>
      <c r="D523" s="15">
        <v>0.5</v>
      </c>
      <c r="E523" s="15">
        <v>5.0</v>
      </c>
      <c r="F523" s="15">
        <v>1.0</v>
      </c>
      <c r="G523" s="15">
        <v>2023.0</v>
      </c>
    </row>
    <row r="524" ht="15.75" customHeight="1">
      <c r="A524" s="15" t="s">
        <v>871</v>
      </c>
      <c r="B524" s="15">
        <v>1.0</v>
      </c>
      <c r="C524" s="15">
        <v>1.0</v>
      </c>
      <c r="D524" s="15">
        <v>1.0</v>
      </c>
      <c r="E524" s="15">
        <v>2.0</v>
      </c>
      <c r="F524" s="15">
        <v>1.0</v>
      </c>
      <c r="G524" s="15">
        <v>2024.0</v>
      </c>
    </row>
    <row r="525" ht="15.75" customHeight="1">
      <c r="A525" s="15" t="s">
        <v>872</v>
      </c>
      <c r="B525" s="15">
        <v>1.0</v>
      </c>
      <c r="C525" s="15">
        <v>1.0</v>
      </c>
      <c r="D525" s="15">
        <v>0.333333333333333</v>
      </c>
      <c r="E525" s="15">
        <v>3.0</v>
      </c>
      <c r="F525" s="15">
        <v>1.0</v>
      </c>
      <c r="G525" s="15">
        <v>2022.0</v>
      </c>
    </row>
    <row r="526" ht="15.75" customHeight="1">
      <c r="A526" s="15" t="s">
        <v>873</v>
      </c>
      <c r="B526" s="15">
        <v>1.0</v>
      </c>
      <c r="C526" s="15">
        <v>1.0</v>
      </c>
      <c r="D526" s="15">
        <v>0.333333333333333</v>
      </c>
      <c r="E526" s="15">
        <v>1.0</v>
      </c>
      <c r="F526" s="15">
        <v>1.0</v>
      </c>
      <c r="G526" s="15">
        <v>2022.0</v>
      </c>
    </row>
    <row r="527" ht="15.75" customHeight="1">
      <c r="A527" s="15" t="s">
        <v>874</v>
      </c>
      <c r="B527" s="15">
        <v>1.0</v>
      </c>
      <c r="C527" s="15">
        <v>1.0</v>
      </c>
      <c r="D527" s="15">
        <v>0.25</v>
      </c>
      <c r="E527" s="15">
        <v>1.0</v>
      </c>
      <c r="F527" s="15">
        <v>1.0</v>
      </c>
      <c r="G527" s="15">
        <v>2021.0</v>
      </c>
    </row>
    <row r="528" ht="15.75" customHeight="1">
      <c r="A528" s="15" t="s">
        <v>875</v>
      </c>
      <c r="B528" s="15">
        <v>1.0</v>
      </c>
      <c r="C528" s="15">
        <v>1.0</v>
      </c>
      <c r="D528" s="15">
        <v>0.333333333333333</v>
      </c>
      <c r="E528" s="15">
        <v>9.0</v>
      </c>
      <c r="F528" s="15">
        <v>1.0</v>
      </c>
      <c r="G528" s="15">
        <v>2022.0</v>
      </c>
    </row>
    <row r="529" ht="15.75" customHeight="1">
      <c r="A529" s="15" t="s">
        <v>876</v>
      </c>
      <c r="B529" s="15">
        <v>1.0</v>
      </c>
      <c r="C529" s="15">
        <v>1.0</v>
      </c>
      <c r="D529" s="15">
        <v>0.2</v>
      </c>
      <c r="E529" s="15">
        <v>19.0</v>
      </c>
      <c r="F529" s="15">
        <v>1.0</v>
      </c>
      <c r="G529" s="15">
        <v>2020.0</v>
      </c>
    </row>
    <row r="530" ht="15.75" customHeight="1">
      <c r="A530" s="15" t="s">
        <v>877</v>
      </c>
      <c r="B530" s="15">
        <v>1.0</v>
      </c>
      <c r="C530" s="15">
        <v>1.0</v>
      </c>
      <c r="D530" s="15">
        <v>0.333333333333333</v>
      </c>
      <c r="E530" s="15">
        <v>2.0</v>
      </c>
      <c r="F530" s="15">
        <v>1.0</v>
      </c>
      <c r="G530" s="15">
        <v>2022.0</v>
      </c>
    </row>
    <row r="531" ht="15.75" customHeight="1">
      <c r="A531" s="15" t="s">
        <v>878</v>
      </c>
      <c r="B531" s="15">
        <v>1.0</v>
      </c>
      <c r="C531" s="15">
        <v>1.0</v>
      </c>
      <c r="D531" s="15">
        <v>1.0</v>
      </c>
      <c r="E531" s="15">
        <v>4.0</v>
      </c>
      <c r="F531" s="15">
        <v>1.0</v>
      </c>
      <c r="G531" s="15">
        <v>2024.0</v>
      </c>
    </row>
    <row r="532" ht="15.75" customHeight="1">
      <c r="A532" s="15" t="s">
        <v>879</v>
      </c>
      <c r="B532" s="15">
        <v>1.0</v>
      </c>
      <c r="C532" s="15">
        <v>1.0</v>
      </c>
      <c r="D532" s="15">
        <v>0.111111111111111</v>
      </c>
      <c r="E532" s="15">
        <v>28.0</v>
      </c>
      <c r="F532" s="15">
        <v>1.0</v>
      </c>
      <c r="G532" s="15">
        <v>2016.0</v>
      </c>
    </row>
    <row r="533" ht="15.75" customHeight="1">
      <c r="A533" s="15" t="s">
        <v>880</v>
      </c>
      <c r="B533" s="15">
        <v>1.0</v>
      </c>
      <c r="C533" s="15">
        <v>1.0</v>
      </c>
      <c r="D533" s="15">
        <v>0.0909090909090909</v>
      </c>
      <c r="E533" s="15">
        <v>2.0</v>
      </c>
      <c r="F533" s="15">
        <v>1.0</v>
      </c>
      <c r="G533" s="15">
        <v>2014.0</v>
      </c>
    </row>
    <row r="534" ht="15.75" customHeight="1">
      <c r="A534" s="15" t="s">
        <v>881</v>
      </c>
      <c r="B534" s="15">
        <v>1.0</v>
      </c>
      <c r="C534" s="15">
        <v>1.0</v>
      </c>
      <c r="D534" s="15">
        <v>0.0909090909090909</v>
      </c>
      <c r="E534" s="15">
        <v>2.0</v>
      </c>
      <c r="F534" s="15">
        <v>1.0</v>
      </c>
      <c r="G534" s="15">
        <v>2014.0</v>
      </c>
    </row>
    <row r="535" ht="15.75" customHeight="1">
      <c r="A535" s="15" t="s">
        <v>882</v>
      </c>
      <c r="B535" s="15">
        <v>1.0</v>
      </c>
      <c r="C535" s="15">
        <v>1.0</v>
      </c>
      <c r="D535" s="15">
        <v>0.333333333333333</v>
      </c>
      <c r="E535" s="15">
        <v>5.0</v>
      </c>
      <c r="F535" s="15">
        <v>1.0</v>
      </c>
      <c r="G535" s="15">
        <v>2022.0</v>
      </c>
    </row>
    <row r="536" ht="15.75" customHeight="1">
      <c r="A536" s="15" t="s">
        <v>883</v>
      </c>
      <c r="B536" s="15">
        <v>1.0</v>
      </c>
      <c r="C536" s="15">
        <v>1.0</v>
      </c>
      <c r="D536" s="15">
        <v>0.25</v>
      </c>
      <c r="E536" s="15">
        <v>4.0</v>
      </c>
      <c r="F536" s="15">
        <v>1.0</v>
      </c>
      <c r="G536" s="15">
        <v>2021.0</v>
      </c>
    </row>
    <row r="537" ht="15.75" customHeight="1">
      <c r="A537" s="15" t="s">
        <v>884</v>
      </c>
      <c r="B537" s="15">
        <v>1.0</v>
      </c>
      <c r="C537" s="15">
        <v>1.0</v>
      </c>
      <c r="D537" s="15">
        <v>0.1</v>
      </c>
      <c r="E537" s="15">
        <v>3.0</v>
      </c>
      <c r="F537" s="15">
        <v>1.0</v>
      </c>
      <c r="G537" s="15">
        <v>2015.0</v>
      </c>
    </row>
    <row r="538" ht="15.75" customHeight="1">
      <c r="A538" s="15" t="s">
        <v>885</v>
      </c>
      <c r="B538" s="15">
        <v>1.0</v>
      </c>
      <c r="C538" s="15">
        <v>1.0</v>
      </c>
      <c r="D538" s="15">
        <v>0.0769230769230769</v>
      </c>
      <c r="E538" s="15">
        <v>5.0</v>
      </c>
      <c r="F538" s="15">
        <v>1.0</v>
      </c>
      <c r="G538" s="15">
        <v>2012.0</v>
      </c>
    </row>
    <row r="539" ht="15.75" customHeight="1">
      <c r="A539" s="15" t="s">
        <v>886</v>
      </c>
      <c r="B539" s="15">
        <v>1.0</v>
      </c>
      <c r="C539" s="15">
        <v>1.0</v>
      </c>
      <c r="D539" s="15">
        <v>0.25</v>
      </c>
      <c r="E539" s="15">
        <v>12.0</v>
      </c>
      <c r="F539" s="15">
        <v>1.0</v>
      </c>
      <c r="G539" s="15">
        <v>2021.0</v>
      </c>
    </row>
    <row r="540" ht="15.75" customHeight="1">
      <c r="A540" s="15" t="s">
        <v>887</v>
      </c>
      <c r="B540" s="15">
        <v>1.0</v>
      </c>
      <c r="C540" s="15">
        <v>1.0</v>
      </c>
      <c r="D540" s="15">
        <v>1.0</v>
      </c>
      <c r="E540" s="15">
        <v>5.0</v>
      </c>
      <c r="F540" s="15">
        <v>1.0</v>
      </c>
      <c r="G540" s="15">
        <v>2024.0</v>
      </c>
    </row>
    <row r="541" ht="15.75" customHeight="1">
      <c r="A541" s="15" t="s">
        <v>888</v>
      </c>
      <c r="B541" s="15">
        <v>1.0</v>
      </c>
      <c r="C541" s="15">
        <v>1.0</v>
      </c>
      <c r="D541" s="15">
        <v>0.333333333333333</v>
      </c>
      <c r="E541" s="15">
        <v>7.0</v>
      </c>
      <c r="F541" s="15">
        <v>1.0</v>
      </c>
      <c r="G541" s="15">
        <v>2022.0</v>
      </c>
    </row>
    <row r="542" ht="15.75" customHeight="1">
      <c r="A542" s="15" t="s">
        <v>889</v>
      </c>
      <c r="B542" s="15">
        <v>1.0</v>
      </c>
      <c r="C542" s="15">
        <v>1.0</v>
      </c>
      <c r="D542" s="15">
        <v>0.333333333333333</v>
      </c>
      <c r="E542" s="15">
        <v>7.0</v>
      </c>
      <c r="F542" s="15">
        <v>1.0</v>
      </c>
      <c r="G542" s="15">
        <v>2022.0</v>
      </c>
    </row>
    <row r="543" ht="15.75" customHeight="1">
      <c r="A543" s="15" t="s">
        <v>890</v>
      </c>
      <c r="B543" s="15">
        <v>1.0</v>
      </c>
      <c r="C543" s="15">
        <v>1.0</v>
      </c>
      <c r="D543" s="15">
        <v>0.1</v>
      </c>
      <c r="E543" s="15">
        <v>4.0</v>
      </c>
      <c r="F543" s="15">
        <v>1.0</v>
      </c>
      <c r="G543" s="15">
        <v>2015.0</v>
      </c>
    </row>
    <row r="544" ht="15.75" customHeight="1">
      <c r="A544" s="15" t="s">
        <v>891</v>
      </c>
      <c r="B544" s="15">
        <v>1.0</v>
      </c>
      <c r="C544" s="15">
        <v>1.0</v>
      </c>
      <c r="D544" s="15">
        <v>0.111111111111111</v>
      </c>
      <c r="E544" s="15">
        <v>4.0</v>
      </c>
      <c r="F544" s="15">
        <v>1.0</v>
      </c>
      <c r="G544" s="15">
        <v>2016.0</v>
      </c>
    </row>
    <row r="545" ht="15.75" customHeight="1">
      <c r="A545" s="15" t="s">
        <v>892</v>
      </c>
      <c r="B545" s="15">
        <v>1.0</v>
      </c>
      <c r="C545" s="15">
        <v>1.0</v>
      </c>
      <c r="D545" s="15">
        <v>0.166666666666667</v>
      </c>
      <c r="E545" s="15">
        <v>4.0</v>
      </c>
      <c r="F545" s="15">
        <v>1.0</v>
      </c>
      <c r="G545" s="15">
        <v>2019.0</v>
      </c>
    </row>
    <row r="546" ht="15.75" customHeight="1">
      <c r="A546" s="15" t="s">
        <v>893</v>
      </c>
      <c r="B546" s="15">
        <v>1.0</v>
      </c>
      <c r="C546" s="15">
        <v>1.0</v>
      </c>
      <c r="D546" s="15">
        <v>0.142857142857143</v>
      </c>
      <c r="E546" s="15">
        <v>9.0</v>
      </c>
      <c r="F546" s="15">
        <v>1.0</v>
      </c>
      <c r="G546" s="15">
        <v>2018.0</v>
      </c>
    </row>
    <row r="547" ht="15.75" customHeight="1">
      <c r="A547" s="15" t="s">
        <v>894</v>
      </c>
      <c r="B547" s="15">
        <v>1.0</v>
      </c>
      <c r="C547" s="15">
        <v>1.0</v>
      </c>
      <c r="D547" s="15">
        <v>0.5</v>
      </c>
      <c r="E547" s="15">
        <v>6.0</v>
      </c>
      <c r="F547" s="15">
        <v>1.0</v>
      </c>
      <c r="G547" s="15">
        <v>2023.0</v>
      </c>
    </row>
    <row r="548" ht="15.75" customHeight="1">
      <c r="A548" s="15" t="s">
        <v>895</v>
      </c>
      <c r="B548" s="15">
        <v>1.0</v>
      </c>
      <c r="C548" s="15">
        <v>1.0</v>
      </c>
      <c r="D548" s="15">
        <v>0.125</v>
      </c>
      <c r="E548" s="15">
        <v>29.0</v>
      </c>
      <c r="F548" s="15">
        <v>1.0</v>
      </c>
      <c r="G548" s="15">
        <v>2017.0</v>
      </c>
    </row>
    <row r="549" ht="15.75" customHeight="1">
      <c r="A549" s="15" t="s">
        <v>896</v>
      </c>
      <c r="B549" s="15">
        <v>1.0</v>
      </c>
      <c r="C549" s="15">
        <v>1.0</v>
      </c>
      <c r="D549" s="15">
        <v>0.5</v>
      </c>
      <c r="E549" s="15">
        <v>6.0</v>
      </c>
      <c r="F549" s="15">
        <v>1.0</v>
      </c>
      <c r="G549" s="15">
        <v>2023.0</v>
      </c>
    </row>
    <row r="550" ht="15.75" customHeight="1">
      <c r="A550" s="15" t="s">
        <v>897</v>
      </c>
      <c r="B550" s="15">
        <v>1.0</v>
      </c>
      <c r="C550" s="15">
        <v>1.0</v>
      </c>
      <c r="D550" s="15">
        <v>0.25</v>
      </c>
      <c r="E550" s="15">
        <v>23.0</v>
      </c>
      <c r="F550" s="15">
        <v>1.0</v>
      </c>
      <c r="G550" s="15">
        <v>2021.0</v>
      </c>
    </row>
    <row r="551" ht="15.75" customHeight="1">
      <c r="A551" s="15" t="s">
        <v>898</v>
      </c>
      <c r="B551" s="15">
        <v>1.0</v>
      </c>
      <c r="C551" s="15">
        <v>1.0</v>
      </c>
      <c r="D551" s="15">
        <v>0.5</v>
      </c>
      <c r="E551" s="15">
        <v>4.0</v>
      </c>
      <c r="F551" s="15">
        <v>1.0</v>
      </c>
      <c r="G551" s="15">
        <v>2023.0</v>
      </c>
    </row>
    <row r="552" ht="15.75" customHeight="1">
      <c r="A552" s="15" t="s">
        <v>899</v>
      </c>
      <c r="B552" s="15">
        <v>1.0</v>
      </c>
      <c r="C552" s="15">
        <v>1.0</v>
      </c>
      <c r="D552" s="15">
        <v>0.5</v>
      </c>
      <c r="E552" s="15">
        <v>2.0</v>
      </c>
      <c r="F552" s="15">
        <v>1.0</v>
      </c>
      <c r="G552" s="15">
        <v>2023.0</v>
      </c>
    </row>
    <row r="553" ht="15.75" customHeight="1">
      <c r="A553" s="15" t="s">
        <v>900</v>
      </c>
      <c r="B553" s="15">
        <v>1.0</v>
      </c>
      <c r="C553" s="15">
        <v>1.0</v>
      </c>
      <c r="D553" s="15">
        <v>0.0588235294117647</v>
      </c>
      <c r="E553" s="15">
        <v>6.0</v>
      </c>
      <c r="F553" s="15">
        <v>1.0</v>
      </c>
      <c r="G553" s="15">
        <v>2008.0</v>
      </c>
    </row>
    <row r="554" ht="15.75" customHeight="1">
      <c r="A554" s="15" t="s">
        <v>901</v>
      </c>
      <c r="B554" s="15">
        <v>1.0</v>
      </c>
      <c r="C554" s="15">
        <v>1.0</v>
      </c>
      <c r="D554" s="15">
        <v>0.0666666666666667</v>
      </c>
      <c r="E554" s="15">
        <v>7.0</v>
      </c>
      <c r="F554" s="15">
        <v>1.0</v>
      </c>
      <c r="G554" s="15">
        <v>2010.0</v>
      </c>
    </row>
    <row r="555" ht="15.75" customHeight="1">
      <c r="A555" s="15" t="s">
        <v>902</v>
      </c>
      <c r="B555" s="15">
        <v>1.0</v>
      </c>
      <c r="C555" s="15">
        <v>1.0</v>
      </c>
      <c r="D555" s="15">
        <v>0.2</v>
      </c>
      <c r="E555" s="15">
        <v>3.0</v>
      </c>
      <c r="F555" s="15">
        <v>1.0</v>
      </c>
      <c r="G555" s="15">
        <v>2020.0</v>
      </c>
    </row>
    <row r="556" ht="15.75" customHeight="1">
      <c r="A556" s="15" t="s">
        <v>903</v>
      </c>
      <c r="B556" s="15">
        <v>1.0</v>
      </c>
      <c r="C556" s="15">
        <v>1.0</v>
      </c>
      <c r="D556" s="15">
        <v>0.333333333333333</v>
      </c>
      <c r="E556" s="15">
        <v>7.0</v>
      </c>
      <c r="F556" s="15">
        <v>1.0</v>
      </c>
      <c r="G556" s="15">
        <v>2022.0</v>
      </c>
    </row>
    <row r="557" ht="15.75" customHeight="1">
      <c r="A557" s="15" t="s">
        <v>904</v>
      </c>
      <c r="B557" s="15">
        <v>1.0</v>
      </c>
      <c r="C557" s="15">
        <v>1.0</v>
      </c>
      <c r="D557" s="15">
        <v>0.25</v>
      </c>
      <c r="E557" s="15">
        <v>4.0</v>
      </c>
      <c r="F557" s="15">
        <v>1.0</v>
      </c>
      <c r="G557" s="15">
        <v>2021.0</v>
      </c>
    </row>
    <row r="558" ht="15.75" customHeight="1">
      <c r="A558" s="15" t="s">
        <v>905</v>
      </c>
      <c r="B558" s="15">
        <v>1.0</v>
      </c>
      <c r="C558" s="15">
        <v>1.0</v>
      </c>
      <c r="D558" s="15">
        <v>0.125</v>
      </c>
      <c r="E558" s="15">
        <v>23.0</v>
      </c>
      <c r="F558" s="15">
        <v>1.0</v>
      </c>
      <c r="G558" s="15">
        <v>2017.0</v>
      </c>
    </row>
    <row r="559" ht="15.75" customHeight="1">
      <c r="A559" s="15" t="s">
        <v>906</v>
      </c>
      <c r="B559" s="15">
        <v>1.0</v>
      </c>
      <c r="C559" s="15">
        <v>1.0</v>
      </c>
      <c r="D559" s="15">
        <v>0.5</v>
      </c>
      <c r="E559" s="15">
        <v>3.0</v>
      </c>
      <c r="F559" s="15">
        <v>1.0</v>
      </c>
      <c r="G559" s="15">
        <v>2023.0</v>
      </c>
    </row>
    <row r="560" ht="15.75" customHeight="1">
      <c r="A560" s="15" t="s">
        <v>907</v>
      </c>
      <c r="B560" s="15">
        <v>1.0</v>
      </c>
      <c r="C560" s="15">
        <v>1.0</v>
      </c>
      <c r="D560" s="15">
        <v>0.2</v>
      </c>
      <c r="E560" s="15">
        <v>97.0</v>
      </c>
      <c r="F560" s="15">
        <v>1.0</v>
      </c>
      <c r="G560" s="15">
        <v>2020.0</v>
      </c>
    </row>
    <row r="561" ht="15.75" customHeight="1">
      <c r="A561" s="15" t="s">
        <v>908</v>
      </c>
      <c r="B561" s="15">
        <v>1.0</v>
      </c>
      <c r="C561" s="15">
        <v>1.0</v>
      </c>
      <c r="D561" s="15">
        <v>0.5</v>
      </c>
      <c r="E561" s="15">
        <v>16.0</v>
      </c>
      <c r="F561" s="15">
        <v>1.0</v>
      </c>
      <c r="G561" s="15">
        <v>2023.0</v>
      </c>
    </row>
    <row r="562" ht="15.75" customHeight="1">
      <c r="A562" s="15" t="s">
        <v>909</v>
      </c>
      <c r="B562" s="15">
        <v>1.0</v>
      </c>
      <c r="C562" s="15">
        <v>1.0</v>
      </c>
      <c r="D562" s="15">
        <v>0.0769230769230769</v>
      </c>
      <c r="E562" s="15">
        <v>5.0</v>
      </c>
      <c r="F562" s="15">
        <v>1.0</v>
      </c>
      <c r="G562" s="15">
        <v>2012.0</v>
      </c>
    </row>
    <row r="563" ht="15.75" customHeight="1">
      <c r="A563" s="15" t="s">
        <v>910</v>
      </c>
      <c r="B563" s="15">
        <v>1.0</v>
      </c>
      <c r="C563" s="15">
        <v>1.0</v>
      </c>
      <c r="D563" s="15">
        <v>0.0909090909090909</v>
      </c>
      <c r="E563" s="15">
        <v>17.0</v>
      </c>
      <c r="F563" s="15">
        <v>1.0</v>
      </c>
      <c r="G563" s="15">
        <v>2014.0</v>
      </c>
    </row>
    <row r="564" ht="15.75" customHeight="1">
      <c r="A564" s="15" t="s">
        <v>911</v>
      </c>
      <c r="B564" s="15">
        <v>1.0</v>
      </c>
      <c r="C564" s="15">
        <v>1.0</v>
      </c>
      <c r="D564" s="15">
        <v>0.2</v>
      </c>
      <c r="E564" s="15">
        <v>35.0</v>
      </c>
      <c r="F564" s="15">
        <v>1.0</v>
      </c>
      <c r="G564" s="15">
        <v>2020.0</v>
      </c>
    </row>
    <row r="565" ht="15.75" customHeight="1">
      <c r="A565" s="15" t="s">
        <v>912</v>
      </c>
      <c r="B565" s="15">
        <v>1.0</v>
      </c>
      <c r="C565" s="15">
        <v>1.0</v>
      </c>
      <c r="D565" s="15">
        <v>0.333333333333333</v>
      </c>
      <c r="E565" s="15">
        <v>4.0</v>
      </c>
      <c r="F565" s="15">
        <v>1.0</v>
      </c>
      <c r="G565" s="15">
        <v>2022.0</v>
      </c>
    </row>
    <row r="566" ht="15.75" customHeight="1">
      <c r="A566" s="15" t="s">
        <v>913</v>
      </c>
      <c r="B566" s="15">
        <v>1.0</v>
      </c>
      <c r="C566" s="15">
        <v>1.0</v>
      </c>
      <c r="D566" s="15">
        <v>1.0</v>
      </c>
      <c r="E566" s="15">
        <v>11.0</v>
      </c>
      <c r="F566" s="15">
        <v>1.0</v>
      </c>
      <c r="G566" s="15">
        <v>2024.0</v>
      </c>
    </row>
    <row r="567" ht="15.75" customHeight="1">
      <c r="A567" s="15" t="s">
        <v>914</v>
      </c>
      <c r="B567" s="15">
        <v>1.0</v>
      </c>
      <c r="C567" s="15">
        <v>1.0</v>
      </c>
      <c r="D567" s="15">
        <v>0.142857142857143</v>
      </c>
      <c r="E567" s="15">
        <v>26.0</v>
      </c>
      <c r="F567" s="15">
        <v>1.0</v>
      </c>
      <c r="G567" s="15">
        <v>2018.0</v>
      </c>
    </row>
    <row r="568" ht="15.75" customHeight="1">
      <c r="A568" s="15" t="s">
        <v>915</v>
      </c>
      <c r="B568" s="15">
        <v>1.0</v>
      </c>
      <c r="C568" s="15">
        <v>1.0</v>
      </c>
      <c r="D568" s="15">
        <v>0.25</v>
      </c>
      <c r="E568" s="15">
        <v>4.0</v>
      </c>
      <c r="F568" s="15">
        <v>1.0</v>
      </c>
      <c r="G568" s="15">
        <v>2021.0</v>
      </c>
    </row>
    <row r="569" ht="15.75" customHeight="1">
      <c r="A569" s="15" t="s">
        <v>916</v>
      </c>
      <c r="B569" s="15">
        <v>1.0</v>
      </c>
      <c r="C569" s="15">
        <v>1.0</v>
      </c>
      <c r="D569" s="15">
        <v>0.5</v>
      </c>
      <c r="E569" s="15">
        <v>4.0</v>
      </c>
      <c r="F569" s="15">
        <v>1.0</v>
      </c>
      <c r="G569" s="15">
        <v>2023.0</v>
      </c>
    </row>
    <row r="570" ht="15.75" customHeight="1">
      <c r="A570" s="15" t="s">
        <v>917</v>
      </c>
      <c r="B570" s="15">
        <v>1.0</v>
      </c>
      <c r="C570" s="15">
        <v>1.0</v>
      </c>
      <c r="D570" s="15">
        <v>0.333333333333333</v>
      </c>
      <c r="E570" s="15">
        <v>2.0</v>
      </c>
      <c r="F570" s="15">
        <v>1.0</v>
      </c>
      <c r="G570" s="15">
        <v>2022.0</v>
      </c>
    </row>
    <row r="571" ht="15.75" customHeight="1">
      <c r="A571" s="15" t="s">
        <v>918</v>
      </c>
      <c r="B571" s="15">
        <v>1.0</v>
      </c>
      <c r="C571" s="15">
        <v>1.0</v>
      </c>
      <c r="D571" s="15">
        <v>0.2</v>
      </c>
      <c r="E571" s="15">
        <v>43.0</v>
      </c>
      <c r="F571" s="15">
        <v>1.0</v>
      </c>
      <c r="G571" s="15">
        <v>2020.0</v>
      </c>
    </row>
    <row r="572" ht="15.75" customHeight="1">
      <c r="A572" s="15" t="s">
        <v>919</v>
      </c>
      <c r="B572" s="15">
        <v>1.0</v>
      </c>
      <c r="C572" s="15">
        <v>1.0</v>
      </c>
      <c r="D572" s="15">
        <v>0.2</v>
      </c>
      <c r="E572" s="15">
        <v>97.0</v>
      </c>
      <c r="F572" s="15">
        <v>1.0</v>
      </c>
      <c r="G572" s="15">
        <v>2020.0</v>
      </c>
    </row>
    <row r="573" ht="15.75" customHeight="1">
      <c r="A573" s="15" t="s">
        <v>920</v>
      </c>
      <c r="B573" s="15">
        <v>1.0</v>
      </c>
      <c r="C573" s="15">
        <v>1.0</v>
      </c>
      <c r="D573" s="15">
        <v>0.5</v>
      </c>
      <c r="E573" s="15">
        <v>28.0</v>
      </c>
      <c r="F573" s="15">
        <v>1.0</v>
      </c>
      <c r="G573" s="15">
        <v>2023.0</v>
      </c>
    </row>
    <row r="574" ht="15.75" customHeight="1">
      <c r="A574" s="15" t="s">
        <v>921</v>
      </c>
      <c r="B574" s="15">
        <v>1.0</v>
      </c>
      <c r="C574" s="15">
        <v>1.0</v>
      </c>
      <c r="D574" s="15">
        <v>0.333333333333333</v>
      </c>
      <c r="E574" s="15">
        <v>10.0</v>
      </c>
      <c r="F574" s="15">
        <v>1.0</v>
      </c>
      <c r="G574" s="15">
        <v>2022.0</v>
      </c>
    </row>
    <row r="575" ht="15.75" customHeight="1">
      <c r="A575" s="15" t="s">
        <v>922</v>
      </c>
      <c r="B575" s="15">
        <v>1.0</v>
      </c>
      <c r="C575" s="15">
        <v>1.0</v>
      </c>
      <c r="D575" s="15">
        <v>0.0769230769230769</v>
      </c>
      <c r="E575" s="15">
        <v>8.0</v>
      </c>
      <c r="F575" s="15">
        <v>1.0</v>
      </c>
      <c r="G575" s="15">
        <v>2012.0</v>
      </c>
    </row>
    <row r="576" ht="15.75" customHeight="1">
      <c r="A576" s="15" t="s">
        <v>923</v>
      </c>
      <c r="B576" s="15">
        <v>1.0</v>
      </c>
      <c r="C576" s="15">
        <v>1.0</v>
      </c>
      <c r="D576" s="15">
        <v>0.0769230769230769</v>
      </c>
      <c r="E576" s="15">
        <v>5.0</v>
      </c>
      <c r="F576" s="15">
        <v>1.0</v>
      </c>
      <c r="G576" s="15">
        <v>2012.0</v>
      </c>
    </row>
    <row r="577" ht="15.75" customHeight="1">
      <c r="A577" s="15" t="s">
        <v>924</v>
      </c>
      <c r="B577" s="15">
        <v>1.0</v>
      </c>
      <c r="C577" s="15">
        <v>1.0</v>
      </c>
      <c r="D577" s="15">
        <v>1.0</v>
      </c>
      <c r="E577" s="15">
        <v>2.0</v>
      </c>
      <c r="F577" s="15">
        <v>1.0</v>
      </c>
      <c r="G577" s="15">
        <v>2024.0</v>
      </c>
    </row>
    <row r="578" ht="15.75" customHeight="1">
      <c r="A578" s="15" t="s">
        <v>925</v>
      </c>
      <c r="B578" s="15">
        <v>1.0</v>
      </c>
      <c r="C578" s="15">
        <v>1.0</v>
      </c>
      <c r="D578" s="15">
        <v>1.0</v>
      </c>
      <c r="E578" s="15">
        <v>2.0</v>
      </c>
      <c r="F578" s="15">
        <v>1.0</v>
      </c>
      <c r="G578" s="15">
        <v>2024.0</v>
      </c>
    </row>
    <row r="579" ht="15.75" customHeight="1">
      <c r="A579" s="15" t="s">
        <v>926</v>
      </c>
      <c r="B579" s="15">
        <v>1.0</v>
      </c>
      <c r="C579" s="15">
        <v>1.0</v>
      </c>
      <c r="D579" s="15">
        <v>0.166666666666667</v>
      </c>
      <c r="E579" s="15">
        <v>14.0</v>
      </c>
      <c r="F579" s="15">
        <v>1.0</v>
      </c>
      <c r="G579" s="15">
        <v>2019.0</v>
      </c>
    </row>
    <row r="580" ht="15.75" customHeight="1">
      <c r="A580" s="15" t="s">
        <v>927</v>
      </c>
      <c r="B580" s="15">
        <v>1.0</v>
      </c>
      <c r="C580" s="15">
        <v>1.0</v>
      </c>
      <c r="D580" s="15">
        <v>0.0769230769230769</v>
      </c>
      <c r="E580" s="15">
        <v>4.0</v>
      </c>
      <c r="F580" s="15">
        <v>1.0</v>
      </c>
      <c r="G580" s="15">
        <v>2012.0</v>
      </c>
    </row>
    <row r="581" ht="15.75" customHeight="1">
      <c r="A581" s="15" t="s">
        <v>928</v>
      </c>
      <c r="B581" s="15">
        <v>1.0</v>
      </c>
      <c r="C581" s="15">
        <v>1.0</v>
      </c>
      <c r="D581" s="15">
        <v>0.333333333333333</v>
      </c>
      <c r="E581" s="15">
        <v>4.0</v>
      </c>
      <c r="F581" s="15">
        <v>1.0</v>
      </c>
      <c r="G581" s="15">
        <v>2022.0</v>
      </c>
    </row>
    <row r="582" ht="15.75" customHeight="1">
      <c r="A582" s="15" t="s">
        <v>929</v>
      </c>
      <c r="B582" s="15">
        <v>1.0</v>
      </c>
      <c r="C582" s="15">
        <v>1.0</v>
      </c>
      <c r="D582" s="15">
        <v>0.5</v>
      </c>
      <c r="E582" s="15">
        <v>16.0</v>
      </c>
      <c r="F582" s="15">
        <v>1.0</v>
      </c>
      <c r="G582" s="15">
        <v>2023.0</v>
      </c>
    </row>
    <row r="583" ht="15.75" customHeight="1">
      <c r="A583" s="15" t="s">
        <v>930</v>
      </c>
      <c r="B583" s="15">
        <v>1.0</v>
      </c>
      <c r="C583" s="15">
        <v>1.0</v>
      </c>
      <c r="D583" s="15">
        <v>0.5</v>
      </c>
      <c r="E583" s="15">
        <v>5.0</v>
      </c>
      <c r="F583" s="15">
        <v>1.0</v>
      </c>
      <c r="G583" s="15">
        <v>2023.0</v>
      </c>
    </row>
    <row r="584" ht="15.75" customHeight="1">
      <c r="A584" s="15" t="s">
        <v>931</v>
      </c>
      <c r="B584" s="15">
        <v>1.0</v>
      </c>
      <c r="C584" s="15">
        <v>1.0</v>
      </c>
      <c r="D584" s="15">
        <v>0.5</v>
      </c>
      <c r="E584" s="15">
        <v>2.0</v>
      </c>
      <c r="F584" s="15">
        <v>1.0</v>
      </c>
      <c r="G584" s="15">
        <v>2023.0</v>
      </c>
    </row>
    <row r="585" ht="15.75" customHeight="1">
      <c r="A585" s="15" t="s">
        <v>932</v>
      </c>
      <c r="B585" s="15">
        <v>1.0</v>
      </c>
      <c r="C585" s="15">
        <v>1.0</v>
      </c>
      <c r="D585" s="15">
        <v>0.5</v>
      </c>
      <c r="E585" s="15">
        <v>2.0</v>
      </c>
      <c r="F585" s="15">
        <v>1.0</v>
      </c>
      <c r="G585" s="15">
        <v>2023.0</v>
      </c>
    </row>
    <row r="586" ht="15.75" customHeight="1">
      <c r="A586" s="15" t="s">
        <v>933</v>
      </c>
      <c r="B586" s="15">
        <v>1.0</v>
      </c>
      <c r="C586" s="15">
        <v>1.0</v>
      </c>
      <c r="D586" s="15">
        <v>0.333333333333333</v>
      </c>
      <c r="E586" s="15">
        <v>3.0</v>
      </c>
      <c r="F586" s="15">
        <v>1.0</v>
      </c>
      <c r="G586" s="15">
        <v>2022.0</v>
      </c>
    </row>
    <row r="587" ht="15.75" customHeight="1">
      <c r="A587" s="15" t="s">
        <v>934</v>
      </c>
      <c r="B587" s="15">
        <v>1.0</v>
      </c>
      <c r="C587" s="15">
        <v>1.0</v>
      </c>
      <c r="D587" s="15">
        <v>0.2</v>
      </c>
      <c r="E587" s="15">
        <v>7.0</v>
      </c>
      <c r="F587" s="15">
        <v>1.0</v>
      </c>
      <c r="G587" s="15">
        <v>2020.0</v>
      </c>
    </row>
    <row r="588" ht="15.75" customHeight="1">
      <c r="A588" s="15" t="s">
        <v>935</v>
      </c>
      <c r="B588" s="15">
        <v>1.0</v>
      </c>
      <c r="C588" s="15">
        <v>1.0</v>
      </c>
      <c r="D588" s="15">
        <v>0.0666666666666667</v>
      </c>
      <c r="E588" s="15">
        <v>7.0</v>
      </c>
      <c r="F588" s="15">
        <v>1.0</v>
      </c>
      <c r="G588" s="15">
        <v>2010.0</v>
      </c>
    </row>
    <row r="589" ht="15.75" customHeight="1">
      <c r="A589" s="15" t="s">
        <v>936</v>
      </c>
      <c r="B589" s="15">
        <v>1.0</v>
      </c>
      <c r="C589" s="15">
        <v>1.0</v>
      </c>
      <c r="D589" s="15">
        <v>1.0</v>
      </c>
      <c r="E589" s="15">
        <v>2.0</v>
      </c>
      <c r="F589" s="15">
        <v>1.0</v>
      </c>
      <c r="G589" s="15">
        <v>2024.0</v>
      </c>
    </row>
    <row r="590" ht="15.75" customHeight="1">
      <c r="A590" s="15" t="s">
        <v>937</v>
      </c>
      <c r="B590" s="15">
        <v>1.0</v>
      </c>
      <c r="C590" s="15">
        <v>1.0</v>
      </c>
      <c r="D590" s="15">
        <v>0.25</v>
      </c>
      <c r="E590" s="15">
        <v>1.0</v>
      </c>
      <c r="F590" s="15">
        <v>1.0</v>
      </c>
      <c r="G590" s="15">
        <v>2021.0</v>
      </c>
    </row>
    <row r="591" ht="15.75" customHeight="1">
      <c r="A591" s="15" t="s">
        <v>938</v>
      </c>
      <c r="B591" s="15">
        <v>1.0</v>
      </c>
      <c r="C591" s="15">
        <v>1.0</v>
      </c>
      <c r="D591" s="15">
        <v>0.125</v>
      </c>
      <c r="E591" s="15">
        <v>29.0</v>
      </c>
      <c r="F591" s="15">
        <v>1.0</v>
      </c>
      <c r="G591" s="15">
        <v>2017.0</v>
      </c>
    </row>
    <row r="592" ht="15.75" customHeight="1">
      <c r="A592" s="15" t="s">
        <v>939</v>
      </c>
      <c r="B592" s="15">
        <v>1.0</v>
      </c>
      <c r="C592" s="15">
        <v>1.0</v>
      </c>
      <c r="D592" s="15">
        <v>0.2</v>
      </c>
      <c r="E592" s="15">
        <v>97.0</v>
      </c>
      <c r="F592" s="15">
        <v>1.0</v>
      </c>
      <c r="G592" s="15">
        <v>2020.0</v>
      </c>
    </row>
    <row r="593" ht="15.75" customHeight="1">
      <c r="A593" s="15" t="s">
        <v>940</v>
      </c>
      <c r="B593" s="15">
        <v>1.0</v>
      </c>
      <c r="C593" s="15">
        <v>1.0</v>
      </c>
      <c r="D593" s="15">
        <v>0.166666666666667</v>
      </c>
      <c r="E593" s="15">
        <v>5.0</v>
      </c>
      <c r="F593" s="15">
        <v>1.0</v>
      </c>
      <c r="G593" s="15">
        <v>2019.0</v>
      </c>
    </row>
    <row r="594" ht="15.75" customHeight="1">
      <c r="A594" s="15" t="s">
        <v>941</v>
      </c>
      <c r="B594" s="15">
        <v>1.0</v>
      </c>
      <c r="C594" s="15">
        <v>1.0</v>
      </c>
      <c r="D594" s="15">
        <v>0.25</v>
      </c>
      <c r="E594" s="15">
        <v>1.0</v>
      </c>
      <c r="F594" s="15">
        <v>1.0</v>
      </c>
      <c r="G594" s="15">
        <v>2021.0</v>
      </c>
    </row>
    <row r="595" ht="15.75" customHeight="1">
      <c r="A595" s="15" t="s">
        <v>942</v>
      </c>
      <c r="B595" s="15">
        <v>1.0</v>
      </c>
      <c r="C595" s="15">
        <v>1.0</v>
      </c>
      <c r="D595" s="15">
        <v>0.333333333333333</v>
      </c>
      <c r="E595" s="15">
        <v>39.0</v>
      </c>
      <c r="F595" s="15">
        <v>1.0</v>
      </c>
      <c r="G595" s="15">
        <v>2022.0</v>
      </c>
    </row>
    <row r="596" ht="15.75" customHeight="1">
      <c r="A596" s="15" t="s">
        <v>943</v>
      </c>
      <c r="B596" s="15">
        <v>1.0</v>
      </c>
      <c r="C596" s="15">
        <v>1.0</v>
      </c>
      <c r="D596" s="15">
        <v>0.333333333333333</v>
      </c>
      <c r="E596" s="15">
        <v>10.0</v>
      </c>
      <c r="F596" s="15">
        <v>1.0</v>
      </c>
      <c r="G596" s="15">
        <v>2022.0</v>
      </c>
    </row>
    <row r="597" ht="15.75" customHeight="1">
      <c r="A597" s="15" t="s">
        <v>944</v>
      </c>
      <c r="B597" s="15">
        <v>1.0</v>
      </c>
      <c r="C597" s="15">
        <v>1.0</v>
      </c>
      <c r="D597" s="15">
        <v>0.25</v>
      </c>
      <c r="E597" s="15">
        <v>1.0</v>
      </c>
      <c r="F597" s="15">
        <v>1.0</v>
      </c>
      <c r="G597" s="15">
        <v>2021.0</v>
      </c>
    </row>
    <row r="598" ht="15.75" customHeight="1">
      <c r="A598" s="15" t="s">
        <v>945</v>
      </c>
      <c r="B598" s="15">
        <v>1.0</v>
      </c>
      <c r="C598" s="15">
        <v>1.0</v>
      </c>
      <c r="D598" s="15">
        <v>1.0</v>
      </c>
      <c r="E598" s="15">
        <v>1.0</v>
      </c>
      <c r="F598" s="15">
        <v>1.0</v>
      </c>
      <c r="G598" s="15">
        <v>2024.0</v>
      </c>
    </row>
    <row r="599" ht="15.75" customHeight="1">
      <c r="A599" s="15" t="s">
        <v>946</v>
      </c>
      <c r="B599" s="15">
        <v>1.0</v>
      </c>
      <c r="C599" s="15">
        <v>1.0</v>
      </c>
      <c r="D599" s="15">
        <v>1.0</v>
      </c>
      <c r="E599" s="15">
        <v>1.0</v>
      </c>
      <c r="F599" s="15">
        <v>1.0</v>
      </c>
      <c r="G599" s="15">
        <v>2024.0</v>
      </c>
    </row>
    <row r="600" ht="15.75" customHeight="1">
      <c r="A600" s="15" t="s">
        <v>947</v>
      </c>
      <c r="B600" s="15">
        <v>1.0</v>
      </c>
      <c r="C600" s="15">
        <v>1.0</v>
      </c>
      <c r="D600" s="15">
        <v>0.0526315789473684</v>
      </c>
      <c r="E600" s="15">
        <v>2.0</v>
      </c>
      <c r="F600" s="15">
        <v>1.0</v>
      </c>
      <c r="G600" s="15">
        <v>2006.0</v>
      </c>
    </row>
    <row r="601" ht="15.75" customHeight="1">
      <c r="A601" s="15" t="s">
        <v>948</v>
      </c>
      <c r="B601" s="15">
        <v>1.0</v>
      </c>
      <c r="C601" s="15">
        <v>1.0</v>
      </c>
      <c r="D601" s="15">
        <v>0.0666666666666667</v>
      </c>
      <c r="E601" s="15">
        <v>6.0</v>
      </c>
      <c r="F601" s="15">
        <v>1.0</v>
      </c>
      <c r="G601" s="15">
        <v>2010.0</v>
      </c>
    </row>
    <row r="602" ht="15.75" customHeight="1">
      <c r="A602" s="15" t="s">
        <v>949</v>
      </c>
      <c r="B602" s="15">
        <v>1.0</v>
      </c>
      <c r="C602" s="15">
        <v>1.0</v>
      </c>
      <c r="D602" s="15">
        <v>0.5</v>
      </c>
      <c r="E602" s="15">
        <v>13.0</v>
      </c>
      <c r="F602" s="15">
        <v>1.0</v>
      </c>
      <c r="G602" s="15">
        <v>2023.0</v>
      </c>
    </row>
    <row r="603" ht="15.75" customHeight="1">
      <c r="A603" s="15" t="s">
        <v>950</v>
      </c>
      <c r="B603" s="15">
        <v>1.0</v>
      </c>
      <c r="C603" s="15">
        <v>1.0</v>
      </c>
      <c r="D603" s="15">
        <v>0.2</v>
      </c>
      <c r="E603" s="15">
        <v>130.0</v>
      </c>
      <c r="F603" s="15">
        <v>1.0</v>
      </c>
      <c r="G603" s="15">
        <v>2020.0</v>
      </c>
    </row>
    <row r="604" ht="15.75" customHeight="1">
      <c r="A604" s="15" t="s">
        <v>951</v>
      </c>
      <c r="B604" s="15">
        <v>1.0</v>
      </c>
      <c r="C604" s="15">
        <v>1.0</v>
      </c>
      <c r="D604" s="15">
        <v>0.2</v>
      </c>
      <c r="E604" s="15">
        <v>15.0</v>
      </c>
      <c r="F604" s="15">
        <v>1.0</v>
      </c>
      <c r="G604" s="15">
        <v>2020.0</v>
      </c>
    </row>
    <row r="605" ht="15.75" customHeight="1">
      <c r="A605" s="15" t="s">
        <v>952</v>
      </c>
      <c r="B605" s="15">
        <v>1.0</v>
      </c>
      <c r="C605" s="15">
        <v>1.0</v>
      </c>
      <c r="D605" s="15">
        <v>0.333333333333333</v>
      </c>
      <c r="E605" s="15">
        <v>1.0</v>
      </c>
      <c r="F605" s="15">
        <v>1.0</v>
      </c>
      <c r="G605" s="15">
        <v>2022.0</v>
      </c>
    </row>
    <row r="606" ht="15.75" customHeight="1">
      <c r="A606" s="15" t="s">
        <v>953</v>
      </c>
      <c r="B606" s="15">
        <v>1.0</v>
      </c>
      <c r="C606" s="15">
        <v>1.0</v>
      </c>
      <c r="D606" s="15">
        <v>0.166666666666667</v>
      </c>
      <c r="E606" s="15">
        <v>7.0</v>
      </c>
      <c r="F606" s="15">
        <v>1.0</v>
      </c>
      <c r="G606" s="15">
        <v>2019.0</v>
      </c>
    </row>
    <row r="607" ht="15.75" customHeight="1">
      <c r="A607" s="15" t="s">
        <v>954</v>
      </c>
      <c r="B607" s="15">
        <v>1.0</v>
      </c>
      <c r="C607" s="15">
        <v>1.0</v>
      </c>
      <c r="D607" s="15">
        <v>0.25</v>
      </c>
      <c r="E607" s="15">
        <v>33.0</v>
      </c>
      <c r="F607" s="15">
        <v>1.0</v>
      </c>
      <c r="G607" s="15">
        <v>2021.0</v>
      </c>
    </row>
    <row r="608" ht="15.75" customHeight="1">
      <c r="A608" s="15" t="s">
        <v>955</v>
      </c>
      <c r="B608" s="15">
        <v>1.0</v>
      </c>
      <c r="C608" s="15">
        <v>1.0</v>
      </c>
      <c r="D608" s="15">
        <v>0.333333333333333</v>
      </c>
      <c r="E608" s="15">
        <v>1.0</v>
      </c>
      <c r="F608" s="15">
        <v>1.0</v>
      </c>
      <c r="G608" s="15">
        <v>2022.0</v>
      </c>
    </row>
    <row r="609" ht="15.75" customHeight="1">
      <c r="A609" s="15" t="s">
        <v>956</v>
      </c>
      <c r="B609" s="15">
        <v>1.0</v>
      </c>
      <c r="C609" s="15">
        <v>1.0</v>
      </c>
      <c r="D609" s="15">
        <v>0.166666666666667</v>
      </c>
      <c r="E609" s="15">
        <v>11.0</v>
      </c>
      <c r="F609" s="15">
        <v>1.0</v>
      </c>
      <c r="G609" s="15">
        <v>2019.0</v>
      </c>
    </row>
    <row r="610" ht="15.75" customHeight="1">
      <c r="A610" s="15" t="s">
        <v>957</v>
      </c>
      <c r="B610" s="15">
        <v>1.0</v>
      </c>
      <c r="C610" s="15">
        <v>1.0</v>
      </c>
      <c r="D610" s="15">
        <v>0.111111111111111</v>
      </c>
      <c r="E610" s="15">
        <v>4.0</v>
      </c>
      <c r="F610" s="15">
        <v>1.0</v>
      </c>
      <c r="G610" s="15">
        <v>2016.0</v>
      </c>
    </row>
    <row r="611" ht="15.75" customHeight="1">
      <c r="A611" s="15" t="s">
        <v>958</v>
      </c>
      <c r="B611" s="15">
        <v>1.0</v>
      </c>
      <c r="C611" s="15">
        <v>1.0</v>
      </c>
      <c r="D611" s="15">
        <v>0.0909090909090909</v>
      </c>
      <c r="E611" s="15">
        <v>6.0</v>
      </c>
      <c r="F611" s="15">
        <v>1.0</v>
      </c>
      <c r="G611" s="15">
        <v>2014.0</v>
      </c>
    </row>
    <row r="612" ht="15.75" customHeight="1">
      <c r="A612" s="15" t="s">
        <v>959</v>
      </c>
      <c r="B612" s="15">
        <v>1.0</v>
      </c>
      <c r="C612" s="15">
        <v>1.0</v>
      </c>
      <c r="D612" s="15">
        <v>0.1</v>
      </c>
      <c r="E612" s="15">
        <v>209.0</v>
      </c>
      <c r="F612" s="15">
        <v>1.0</v>
      </c>
      <c r="G612" s="15">
        <v>2015.0</v>
      </c>
    </row>
    <row r="613" ht="15.75" customHeight="1">
      <c r="A613" s="15" t="s">
        <v>960</v>
      </c>
      <c r="B613" s="15">
        <v>1.0</v>
      </c>
      <c r="C613" s="15">
        <v>1.0</v>
      </c>
      <c r="D613" s="15">
        <v>0.5</v>
      </c>
      <c r="E613" s="15">
        <v>2.0</v>
      </c>
      <c r="F613" s="15">
        <v>1.0</v>
      </c>
      <c r="G613" s="15">
        <v>2023.0</v>
      </c>
    </row>
    <row r="614" ht="15.75" customHeight="1">
      <c r="A614" s="15" t="s">
        <v>961</v>
      </c>
      <c r="B614" s="15">
        <v>1.0</v>
      </c>
      <c r="C614" s="15">
        <v>1.0</v>
      </c>
      <c r="D614" s="15">
        <v>0.25</v>
      </c>
      <c r="E614" s="15">
        <v>1.0</v>
      </c>
      <c r="F614" s="15">
        <v>1.0</v>
      </c>
      <c r="G614" s="15">
        <v>2021.0</v>
      </c>
    </row>
    <row r="615" ht="15.75" customHeight="1">
      <c r="A615" s="15" t="s">
        <v>962</v>
      </c>
      <c r="B615" s="15">
        <v>1.0</v>
      </c>
      <c r="C615" s="15">
        <v>1.0</v>
      </c>
      <c r="D615" s="15">
        <v>0.0526315789473684</v>
      </c>
      <c r="E615" s="15">
        <v>2.0</v>
      </c>
      <c r="F615" s="15">
        <v>1.0</v>
      </c>
      <c r="G615" s="15">
        <v>2006.0</v>
      </c>
    </row>
    <row r="616" ht="15.75" customHeight="1">
      <c r="A616" s="15" t="s">
        <v>963</v>
      </c>
      <c r="B616" s="15">
        <v>1.0</v>
      </c>
      <c r="C616" s="15">
        <v>1.0</v>
      </c>
      <c r="D616" s="15">
        <v>0.25</v>
      </c>
      <c r="E616" s="15">
        <v>73.0</v>
      </c>
      <c r="F616" s="15">
        <v>1.0</v>
      </c>
      <c r="G616" s="15">
        <v>2021.0</v>
      </c>
    </row>
    <row r="617" ht="15.75" customHeight="1">
      <c r="A617" s="15" t="s">
        <v>964</v>
      </c>
      <c r="B617" s="15">
        <v>1.0</v>
      </c>
      <c r="C617" s="15">
        <v>1.0</v>
      </c>
      <c r="D617" s="15">
        <v>0.5</v>
      </c>
      <c r="E617" s="15">
        <v>1.0</v>
      </c>
      <c r="F617" s="15">
        <v>1.0</v>
      </c>
      <c r="G617" s="15">
        <v>2023.0</v>
      </c>
    </row>
    <row r="618" ht="15.75" customHeight="1">
      <c r="A618" s="15" t="s">
        <v>965</v>
      </c>
      <c r="B618" s="15">
        <v>1.0</v>
      </c>
      <c r="C618" s="15">
        <v>1.0</v>
      </c>
      <c r="D618" s="15">
        <v>0.333333333333333</v>
      </c>
      <c r="E618" s="15">
        <v>29.0</v>
      </c>
      <c r="F618" s="15">
        <v>1.0</v>
      </c>
      <c r="G618" s="15">
        <v>2022.0</v>
      </c>
    </row>
    <row r="619" ht="15.75" customHeight="1">
      <c r="A619" s="15" t="s">
        <v>966</v>
      </c>
      <c r="B619" s="15">
        <v>1.0</v>
      </c>
      <c r="C619" s="15">
        <v>1.0</v>
      </c>
      <c r="D619" s="15">
        <v>0.5</v>
      </c>
      <c r="E619" s="15">
        <v>1.0</v>
      </c>
      <c r="F619" s="15">
        <v>1.0</v>
      </c>
      <c r="G619" s="15">
        <v>2023.0</v>
      </c>
    </row>
    <row r="620" ht="15.75" customHeight="1">
      <c r="A620" s="15" t="s">
        <v>967</v>
      </c>
      <c r="B620" s="15">
        <v>1.0</v>
      </c>
      <c r="C620" s="15">
        <v>1.0</v>
      </c>
      <c r="D620" s="15">
        <v>0.1</v>
      </c>
      <c r="E620" s="15">
        <v>40.0</v>
      </c>
      <c r="F620" s="15">
        <v>1.0</v>
      </c>
      <c r="G620" s="15">
        <v>2015.0</v>
      </c>
    </row>
    <row r="621" ht="15.75" customHeight="1">
      <c r="A621" s="15" t="s">
        <v>968</v>
      </c>
      <c r="B621" s="15">
        <v>1.0</v>
      </c>
      <c r="C621" s="15">
        <v>1.0</v>
      </c>
      <c r="D621" s="15">
        <v>1.0</v>
      </c>
      <c r="E621" s="15">
        <v>1.0</v>
      </c>
      <c r="F621" s="15">
        <v>1.0</v>
      </c>
      <c r="G621" s="15">
        <v>2024.0</v>
      </c>
    </row>
    <row r="622" ht="15.75" customHeight="1">
      <c r="A622" s="15" t="s">
        <v>969</v>
      </c>
      <c r="B622" s="15">
        <v>1.0</v>
      </c>
      <c r="C622" s="15">
        <v>1.0</v>
      </c>
      <c r="D622" s="15">
        <v>0.25</v>
      </c>
      <c r="E622" s="15">
        <v>11.0</v>
      </c>
      <c r="F622" s="15">
        <v>1.0</v>
      </c>
      <c r="G622" s="15">
        <v>2021.0</v>
      </c>
    </row>
    <row r="623" ht="15.75" customHeight="1">
      <c r="A623" s="15" t="s">
        <v>970</v>
      </c>
      <c r="B623" s="15">
        <v>1.0</v>
      </c>
      <c r="C623" s="15">
        <v>1.0</v>
      </c>
      <c r="D623" s="15">
        <v>0.25</v>
      </c>
      <c r="E623" s="15">
        <v>2.0</v>
      </c>
      <c r="F623" s="15">
        <v>1.0</v>
      </c>
      <c r="G623" s="15">
        <v>2021.0</v>
      </c>
    </row>
    <row r="624" ht="15.75" customHeight="1">
      <c r="A624" s="15" t="s">
        <v>971</v>
      </c>
      <c r="B624" s="15">
        <v>1.0</v>
      </c>
      <c r="C624" s="15">
        <v>1.0</v>
      </c>
      <c r="D624" s="15">
        <v>0.25</v>
      </c>
      <c r="E624" s="15">
        <v>1.0</v>
      </c>
      <c r="F624" s="15">
        <v>1.0</v>
      </c>
      <c r="G624" s="15">
        <v>2021.0</v>
      </c>
    </row>
    <row r="625" ht="15.75" customHeight="1">
      <c r="A625" s="15" t="s">
        <v>972</v>
      </c>
      <c r="B625" s="15">
        <v>1.0</v>
      </c>
      <c r="C625" s="15">
        <v>1.0</v>
      </c>
      <c r="D625" s="15">
        <v>0.25</v>
      </c>
      <c r="E625" s="15">
        <v>21.0</v>
      </c>
      <c r="F625" s="15">
        <v>1.0</v>
      </c>
      <c r="G625" s="15">
        <v>2021.0</v>
      </c>
    </row>
    <row r="626" ht="15.75" customHeight="1">
      <c r="A626" s="15" t="s">
        <v>973</v>
      </c>
      <c r="B626" s="15">
        <v>1.0</v>
      </c>
      <c r="C626" s="15">
        <v>1.0</v>
      </c>
      <c r="D626" s="15">
        <v>0.1</v>
      </c>
      <c r="E626" s="15">
        <v>16.0</v>
      </c>
      <c r="F626" s="15">
        <v>1.0</v>
      </c>
      <c r="G626" s="15">
        <v>2015.0</v>
      </c>
    </row>
    <row r="627" ht="15.75" customHeight="1">
      <c r="A627" s="15" t="s">
        <v>974</v>
      </c>
      <c r="B627" s="15">
        <v>1.0</v>
      </c>
      <c r="C627" s="15">
        <v>1.0</v>
      </c>
      <c r="D627" s="15">
        <v>0.5</v>
      </c>
      <c r="E627" s="15">
        <v>13.0</v>
      </c>
      <c r="F627" s="15">
        <v>1.0</v>
      </c>
      <c r="G627" s="15">
        <v>2023.0</v>
      </c>
    </row>
    <row r="628" ht="15.75" customHeight="1">
      <c r="A628" s="15" t="s">
        <v>975</v>
      </c>
      <c r="B628" s="15">
        <v>1.0</v>
      </c>
      <c r="C628" s="15">
        <v>1.0</v>
      </c>
      <c r="D628" s="15">
        <v>0.5</v>
      </c>
      <c r="E628" s="15">
        <v>1.0</v>
      </c>
      <c r="F628" s="15">
        <v>1.0</v>
      </c>
      <c r="G628" s="15">
        <v>2023.0</v>
      </c>
    </row>
    <row r="629" ht="15.75" customHeight="1">
      <c r="A629" s="15" t="s">
        <v>976</v>
      </c>
      <c r="B629" s="15">
        <v>1.0</v>
      </c>
      <c r="C629" s="15">
        <v>1.0</v>
      </c>
      <c r="D629" s="15">
        <v>0.0625</v>
      </c>
      <c r="E629" s="15">
        <v>5.0</v>
      </c>
      <c r="F629" s="15">
        <v>1.0</v>
      </c>
      <c r="G629" s="15">
        <v>2009.0</v>
      </c>
    </row>
    <row r="630" ht="15.75" customHeight="1">
      <c r="A630" s="15" t="s">
        <v>977</v>
      </c>
      <c r="B630" s="15">
        <v>1.0</v>
      </c>
      <c r="C630" s="15">
        <v>1.0</v>
      </c>
      <c r="D630" s="15">
        <v>0.333333333333333</v>
      </c>
      <c r="E630" s="15">
        <v>56.0</v>
      </c>
      <c r="F630" s="15">
        <v>1.0</v>
      </c>
      <c r="G630" s="15">
        <v>2022.0</v>
      </c>
    </row>
    <row r="631" ht="15.75" customHeight="1">
      <c r="A631" s="15" t="s">
        <v>978</v>
      </c>
      <c r="B631" s="15">
        <v>1.0</v>
      </c>
      <c r="C631" s="15">
        <v>1.0</v>
      </c>
      <c r="D631" s="15">
        <v>0.5</v>
      </c>
      <c r="E631" s="15">
        <v>1.0</v>
      </c>
      <c r="F631" s="15">
        <v>1.0</v>
      </c>
      <c r="G631" s="15">
        <v>2023.0</v>
      </c>
    </row>
    <row r="632" ht="15.75" customHeight="1">
      <c r="A632" s="15" t="s">
        <v>979</v>
      </c>
      <c r="B632" s="15">
        <v>1.0</v>
      </c>
      <c r="C632" s="15">
        <v>1.0</v>
      </c>
      <c r="D632" s="15">
        <v>0.5</v>
      </c>
      <c r="E632" s="15">
        <v>1.0</v>
      </c>
      <c r="F632" s="15">
        <v>1.0</v>
      </c>
      <c r="G632" s="15">
        <v>2023.0</v>
      </c>
    </row>
    <row r="633" ht="15.75" customHeight="1">
      <c r="A633" s="15" t="s">
        <v>980</v>
      </c>
      <c r="B633" s="15">
        <v>1.0</v>
      </c>
      <c r="C633" s="15">
        <v>1.0</v>
      </c>
      <c r="D633" s="15">
        <v>0.142857142857143</v>
      </c>
      <c r="E633" s="15">
        <v>59.0</v>
      </c>
      <c r="F633" s="15">
        <v>1.0</v>
      </c>
      <c r="G633" s="15">
        <v>2018.0</v>
      </c>
    </row>
    <row r="634" ht="15.75" customHeight="1">
      <c r="A634" s="15" t="s">
        <v>981</v>
      </c>
      <c r="B634" s="15">
        <v>1.0</v>
      </c>
      <c r="C634" s="15">
        <v>1.0</v>
      </c>
      <c r="D634" s="15">
        <v>0.125</v>
      </c>
      <c r="E634" s="15">
        <v>29.0</v>
      </c>
      <c r="F634" s="15">
        <v>1.0</v>
      </c>
      <c r="G634" s="15">
        <v>2017.0</v>
      </c>
    </row>
    <row r="635" ht="15.75" customHeight="1">
      <c r="A635" s="15" t="s">
        <v>982</v>
      </c>
      <c r="B635" s="15">
        <v>1.0</v>
      </c>
      <c r="C635" s="15">
        <v>1.0</v>
      </c>
      <c r="D635" s="15">
        <v>0.142857142857143</v>
      </c>
      <c r="E635" s="15">
        <v>6.0</v>
      </c>
      <c r="F635" s="15">
        <v>1.0</v>
      </c>
      <c r="G635" s="15">
        <v>2018.0</v>
      </c>
    </row>
    <row r="636" ht="15.75" customHeight="1">
      <c r="A636" s="15" t="s">
        <v>983</v>
      </c>
      <c r="B636" s="15">
        <v>1.0</v>
      </c>
      <c r="C636" s="15">
        <v>1.0</v>
      </c>
      <c r="D636" s="15">
        <v>0.25</v>
      </c>
      <c r="E636" s="15">
        <v>6.0</v>
      </c>
      <c r="F636" s="15">
        <v>1.0</v>
      </c>
      <c r="G636" s="15">
        <v>2021.0</v>
      </c>
    </row>
    <row r="637" ht="15.75" customHeight="1">
      <c r="A637" s="15" t="s">
        <v>984</v>
      </c>
      <c r="B637" s="15">
        <v>1.0</v>
      </c>
      <c r="C637" s="15">
        <v>1.0</v>
      </c>
      <c r="D637" s="15">
        <v>0.1</v>
      </c>
      <c r="E637" s="15">
        <v>8.0</v>
      </c>
      <c r="F637" s="15">
        <v>1.0</v>
      </c>
      <c r="G637" s="15">
        <v>2015.0</v>
      </c>
    </row>
    <row r="638" ht="15.75" customHeight="1">
      <c r="A638" s="15" t="s">
        <v>985</v>
      </c>
      <c r="B638" s="15">
        <v>1.0</v>
      </c>
      <c r="C638" s="15">
        <v>1.0</v>
      </c>
      <c r="D638" s="15">
        <v>0.25</v>
      </c>
      <c r="E638" s="15">
        <v>23.0</v>
      </c>
      <c r="F638" s="15">
        <v>1.0</v>
      </c>
      <c r="G638" s="15">
        <v>2021.0</v>
      </c>
    </row>
    <row r="639" ht="15.75" customHeight="1">
      <c r="A639" s="15" t="s">
        <v>986</v>
      </c>
      <c r="B639" s="15">
        <v>1.0</v>
      </c>
      <c r="C639" s="15">
        <v>1.0</v>
      </c>
      <c r="D639" s="15">
        <v>0.25</v>
      </c>
      <c r="E639" s="15">
        <v>14.0</v>
      </c>
      <c r="F639" s="15">
        <v>1.0</v>
      </c>
      <c r="G639" s="15">
        <v>2021.0</v>
      </c>
    </row>
    <row r="640" ht="15.75" customHeight="1">
      <c r="A640" s="15" t="s">
        <v>987</v>
      </c>
      <c r="B640" s="15">
        <v>1.0</v>
      </c>
      <c r="C640" s="15">
        <v>1.0</v>
      </c>
      <c r="D640" s="15">
        <v>0.25</v>
      </c>
      <c r="E640" s="15">
        <v>3.0</v>
      </c>
      <c r="F640" s="15">
        <v>1.0</v>
      </c>
      <c r="G640" s="15">
        <v>2021.0</v>
      </c>
    </row>
    <row r="641" ht="15.75" customHeight="1">
      <c r="A641" s="15" t="s">
        <v>988</v>
      </c>
      <c r="B641" s="15">
        <v>1.0</v>
      </c>
      <c r="C641" s="15">
        <v>1.0</v>
      </c>
      <c r="D641" s="15">
        <v>0.0434782608695652</v>
      </c>
      <c r="E641" s="15">
        <v>14.0</v>
      </c>
      <c r="F641" s="15">
        <v>1.0</v>
      </c>
      <c r="G641" s="15">
        <v>2002.0</v>
      </c>
    </row>
    <row r="642" ht="15.75" customHeight="1">
      <c r="A642" s="15" t="s">
        <v>989</v>
      </c>
      <c r="B642" s="15">
        <v>1.0</v>
      </c>
      <c r="C642" s="15">
        <v>1.0</v>
      </c>
      <c r="D642" s="15">
        <v>0.1</v>
      </c>
      <c r="E642" s="15">
        <v>16.0</v>
      </c>
      <c r="F642" s="15">
        <v>1.0</v>
      </c>
      <c r="G642" s="15">
        <v>2015.0</v>
      </c>
    </row>
    <row r="643" ht="15.75" customHeight="1">
      <c r="A643" s="15" t="s">
        <v>990</v>
      </c>
      <c r="B643" s="15">
        <v>1.0</v>
      </c>
      <c r="C643" s="15">
        <v>1.0</v>
      </c>
      <c r="D643" s="15">
        <v>0.25</v>
      </c>
      <c r="E643" s="15">
        <v>1.0</v>
      </c>
      <c r="F643" s="15">
        <v>1.0</v>
      </c>
      <c r="G643" s="15">
        <v>2021.0</v>
      </c>
    </row>
    <row r="644" ht="15.75" customHeight="1">
      <c r="A644" s="15" t="s">
        <v>991</v>
      </c>
      <c r="B644" s="15">
        <v>1.0</v>
      </c>
      <c r="C644" s="15">
        <v>1.0</v>
      </c>
      <c r="D644" s="15">
        <v>0.2</v>
      </c>
      <c r="E644" s="15">
        <v>9.0</v>
      </c>
      <c r="F644" s="15">
        <v>1.0</v>
      </c>
      <c r="G644" s="15">
        <v>2020.0</v>
      </c>
    </row>
    <row r="645" ht="15.75" customHeight="1">
      <c r="A645" s="15" t="s">
        <v>992</v>
      </c>
      <c r="B645" s="15">
        <v>1.0</v>
      </c>
      <c r="C645" s="15">
        <v>1.0</v>
      </c>
      <c r="D645" s="15">
        <v>0.5</v>
      </c>
      <c r="E645" s="15">
        <v>2.0</v>
      </c>
      <c r="F645" s="15">
        <v>1.0</v>
      </c>
      <c r="G645" s="15">
        <v>2023.0</v>
      </c>
    </row>
    <row r="646" ht="15.75" customHeight="1">
      <c r="A646" s="15" t="s">
        <v>993</v>
      </c>
      <c r="B646" s="15">
        <v>1.0</v>
      </c>
      <c r="C646" s="15">
        <v>1.0</v>
      </c>
      <c r="D646" s="15">
        <v>0.333333333333333</v>
      </c>
      <c r="E646" s="15">
        <v>7.0</v>
      </c>
      <c r="F646" s="15">
        <v>1.0</v>
      </c>
      <c r="G646" s="15">
        <v>2022.0</v>
      </c>
    </row>
    <row r="647" ht="15.75" customHeight="1">
      <c r="A647" s="15" t="s">
        <v>994</v>
      </c>
      <c r="B647" s="15">
        <v>1.0</v>
      </c>
      <c r="C647" s="15">
        <v>1.0</v>
      </c>
      <c r="D647" s="15">
        <v>0.25</v>
      </c>
      <c r="E647" s="15">
        <v>58.0</v>
      </c>
      <c r="F647" s="15">
        <v>1.0</v>
      </c>
      <c r="G647" s="15">
        <v>2021.0</v>
      </c>
    </row>
    <row r="648" ht="15.75" customHeight="1">
      <c r="A648" s="15" t="s">
        <v>995</v>
      </c>
      <c r="B648" s="15">
        <v>1.0</v>
      </c>
      <c r="C648" s="15">
        <v>1.0</v>
      </c>
      <c r="D648" s="15">
        <v>0.0625</v>
      </c>
      <c r="E648" s="15">
        <v>5.0</v>
      </c>
      <c r="F648" s="15">
        <v>1.0</v>
      </c>
      <c r="G648" s="15">
        <v>2009.0</v>
      </c>
    </row>
    <row r="649" ht="15.75" customHeight="1">
      <c r="A649" s="15" t="s">
        <v>996</v>
      </c>
      <c r="B649" s="15">
        <v>1.0</v>
      </c>
      <c r="C649" s="15">
        <v>1.0</v>
      </c>
      <c r="D649" s="15">
        <v>0.333333333333333</v>
      </c>
      <c r="E649" s="15">
        <v>1.0</v>
      </c>
      <c r="F649" s="15">
        <v>1.0</v>
      </c>
      <c r="G649" s="15">
        <v>2022.0</v>
      </c>
    </row>
    <row r="650" ht="15.75" customHeight="1">
      <c r="A650" s="15" t="s">
        <v>997</v>
      </c>
      <c r="B650" s="15">
        <v>1.0</v>
      </c>
      <c r="C650" s="15">
        <v>1.0</v>
      </c>
      <c r="D650" s="15">
        <v>0.0625</v>
      </c>
      <c r="E650" s="15">
        <v>16.0</v>
      </c>
      <c r="F650" s="15">
        <v>1.0</v>
      </c>
      <c r="G650" s="15">
        <v>2009.0</v>
      </c>
    </row>
    <row r="651" ht="15.75" customHeight="1">
      <c r="A651" s="15" t="s">
        <v>998</v>
      </c>
      <c r="B651" s="15">
        <v>1.0</v>
      </c>
      <c r="C651" s="15">
        <v>1.0</v>
      </c>
      <c r="D651" s="15">
        <v>1.0</v>
      </c>
      <c r="E651" s="15">
        <v>1.0</v>
      </c>
      <c r="F651" s="15">
        <v>1.0</v>
      </c>
      <c r="G651" s="15">
        <v>2024.0</v>
      </c>
    </row>
    <row r="652" ht="15.75" customHeight="1">
      <c r="A652" s="15" t="s">
        <v>999</v>
      </c>
      <c r="B652" s="15">
        <v>1.0</v>
      </c>
      <c r="C652" s="15">
        <v>1.0</v>
      </c>
      <c r="D652" s="15">
        <v>0.111111111111111</v>
      </c>
      <c r="E652" s="15">
        <v>4.0</v>
      </c>
      <c r="F652" s="15">
        <v>1.0</v>
      </c>
      <c r="G652" s="15">
        <v>2016.0</v>
      </c>
    </row>
    <row r="653" ht="15.75" customHeight="1">
      <c r="A653" s="15" t="s">
        <v>1000</v>
      </c>
      <c r="B653" s="15">
        <v>1.0</v>
      </c>
      <c r="C653" s="15">
        <v>1.0</v>
      </c>
      <c r="D653" s="15">
        <v>0.2</v>
      </c>
      <c r="E653" s="15">
        <v>4.0</v>
      </c>
      <c r="F653" s="15">
        <v>1.0</v>
      </c>
      <c r="G653" s="15">
        <v>2020.0</v>
      </c>
    </row>
    <row r="654" ht="15.75" customHeight="1">
      <c r="A654" s="15" t="s">
        <v>1001</v>
      </c>
      <c r="B654" s="15">
        <v>1.0</v>
      </c>
      <c r="C654" s="15">
        <v>1.0</v>
      </c>
      <c r="D654" s="15">
        <v>0.2</v>
      </c>
      <c r="E654" s="15">
        <v>5.0</v>
      </c>
      <c r="F654" s="15">
        <v>1.0</v>
      </c>
      <c r="G654" s="15">
        <v>2020.0</v>
      </c>
    </row>
    <row r="655" ht="15.75" customHeight="1">
      <c r="A655" s="15" t="s">
        <v>1002</v>
      </c>
      <c r="B655" s="15">
        <v>1.0</v>
      </c>
      <c r="C655" s="15">
        <v>1.0</v>
      </c>
      <c r="D655" s="15">
        <v>0.111111111111111</v>
      </c>
      <c r="E655" s="15">
        <v>7.0</v>
      </c>
      <c r="F655" s="15">
        <v>1.0</v>
      </c>
      <c r="G655" s="15">
        <v>2016.0</v>
      </c>
    </row>
    <row r="656" ht="15.75" customHeight="1">
      <c r="A656" s="15" t="s">
        <v>1003</v>
      </c>
      <c r="B656" s="15">
        <v>1.0</v>
      </c>
      <c r="C656" s="15">
        <v>1.0</v>
      </c>
      <c r="D656" s="15">
        <v>0.142857142857143</v>
      </c>
      <c r="E656" s="15">
        <v>13.0</v>
      </c>
      <c r="F656" s="15">
        <v>1.0</v>
      </c>
      <c r="G656" s="15">
        <v>2018.0</v>
      </c>
    </row>
    <row r="657" ht="15.75" customHeight="1">
      <c r="A657" s="15" t="s">
        <v>1004</v>
      </c>
      <c r="B657" s="15">
        <v>1.0</v>
      </c>
      <c r="C657" s="15">
        <v>1.0</v>
      </c>
      <c r="D657" s="15">
        <v>0.142857142857143</v>
      </c>
      <c r="E657" s="15">
        <v>13.0</v>
      </c>
      <c r="F657" s="15">
        <v>1.0</v>
      </c>
      <c r="G657" s="15">
        <v>2018.0</v>
      </c>
    </row>
    <row r="658" ht="15.75" customHeight="1">
      <c r="A658" s="15" t="s">
        <v>1005</v>
      </c>
      <c r="B658" s="15">
        <v>1.0</v>
      </c>
      <c r="C658" s="15">
        <v>1.0</v>
      </c>
      <c r="D658" s="15">
        <v>0.5</v>
      </c>
      <c r="E658" s="15">
        <v>1.0</v>
      </c>
      <c r="F658" s="15">
        <v>1.0</v>
      </c>
      <c r="G658" s="15">
        <v>2023.0</v>
      </c>
    </row>
    <row r="659" ht="15.75" customHeight="1">
      <c r="A659" s="15" t="s">
        <v>1006</v>
      </c>
      <c r="B659" s="15">
        <v>1.0</v>
      </c>
      <c r="C659" s="15">
        <v>1.0</v>
      </c>
      <c r="D659" s="15">
        <v>0.25</v>
      </c>
      <c r="E659" s="15">
        <v>1.0</v>
      </c>
      <c r="F659" s="15">
        <v>1.0</v>
      </c>
      <c r="G659" s="15">
        <v>2021.0</v>
      </c>
    </row>
    <row r="660" ht="15.75" customHeight="1">
      <c r="A660" s="15" t="s">
        <v>1007</v>
      </c>
      <c r="B660" s="15">
        <v>1.0</v>
      </c>
      <c r="C660" s="15">
        <v>1.0</v>
      </c>
      <c r="D660" s="15">
        <v>0.2</v>
      </c>
      <c r="E660" s="15">
        <v>97.0</v>
      </c>
      <c r="F660" s="15">
        <v>1.0</v>
      </c>
      <c r="G660" s="15">
        <v>2020.0</v>
      </c>
    </row>
    <row r="661" ht="15.75" customHeight="1">
      <c r="A661" s="15" t="s">
        <v>1008</v>
      </c>
      <c r="B661" s="15">
        <v>1.0</v>
      </c>
      <c r="C661" s="15">
        <v>1.0</v>
      </c>
      <c r="D661" s="15">
        <v>0.5</v>
      </c>
      <c r="E661" s="15">
        <v>2.0</v>
      </c>
      <c r="F661" s="15">
        <v>1.0</v>
      </c>
      <c r="G661" s="15">
        <v>2023.0</v>
      </c>
    </row>
    <row r="662" ht="15.75" customHeight="1">
      <c r="A662" s="15" t="s">
        <v>1009</v>
      </c>
      <c r="B662" s="15">
        <v>1.0</v>
      </c>
      <c r="C662" s="15">
        <v>1.0</v>
      </c>
      <c r="D662" s="15">
        <v>0.5</v>
      </c>
      <c r="E662" s="15">
        <v>7.0</v>
      </c>
      <c r="F662" s="15">
        <v>1.0</v>
      </c>
      <c r="G662" s="15">
        <v>2023.0</v>
      </c>
    </row>
    <row r="663" ht="15.75" customHeight="1">
      <c r="A663" s="15" t="s">
        <v>1010</v>
      </c>
      <c r="B663" s="15">
        <v>1.0</v>
      </c>
      <c r="C663" s="15">
        <v>1.0</v>
      </c>
      <c r="D663" s="15">
        <v>0.2</v>
      </c>
      <c r="E663" s="15">
        <v>19.0</v>
      </c>
      <c r="F663" s="15">
        <v>1.0</v>
      </c>
      <c r="G663" s="15">
        <v>2020.0</v>
      </c>
    </row>
    <row r="664" ht="15.75" customHeight="1">
      <c r="A664" s="15" t="s">
        <v>1011</v>
      </c>
      <c r="B664" s="15">
        <v>1.0</v>
      </c>
      <c r="C664" s="15">
        <v>1.0</v>
      </c>
      <c r="D664" s="15">
        <v>0.25</v>
      </c>
      <c r="E664" s="15">
        <v>14.0</v>
      </c>
      <c r="F664" s="15">
        <v>1.0</v>
      </c>
      <c r="G664" s="15">
        <v>2021.0</v>
      </c>
    </row>
    <row r="665" ht="15.75" customHeight="1">
      <c r="A665" s="15" t="s">
        <v>1012</v>
      </c>
      <c r="B665" s="15">
        <v>1.0</v>
      </c>
      <c r="C665" s="15">
        <v>1.0</v>
      </c>
      <c r="D665" s="15">
        <v>0.333333333333333</v>
      </c>
      <c r="E665" s="15">
        <v>6.0</v>
      </c>
      <c r="F665" s="15">
        <v>1.0</v>
      </c>
      <c r="G665" s="15">
        <v>2022.0</v>
      </c>
    </row>
    <row r="666" ht="15.75" customHeight="1">
      <c r="A666" s="15" t="s">
        <v>1013</v>
      </c>
      <c r="B666" s="15">
        <v>1.0</v>
      </c>
      <c r="C666" s="15">
        <v>1.0</v>
      </c>
      <c r="D666" s="15">
        <v>0.2</v>
      </c>
      <c r="E666" s="15">
        <v>15.0</v>
      </c>
      <c r="F666" s="15">
        <v>1.0</v>
      </c>
      <c r="G666" s="15">
        <v>2020.0</v>
      </c>
    </row>
    <row r="667" ht="15.75" customHeight="1">
      <c r="A667" s="15" t="s">
        <v>1014</v>
      </c>
      <c r="B667" s="15">
        <v>1.0</v>
      </c>
      <c r="C667" s="15">
        <v>1.0</v>
      </c>
      <c r="D667" s="15">
        <v>0.333333333333333</v>
      </c>
      <c r="E667" s="15">
        <v>1.0</v>
      </c>
      <c r="F667" s="15">
        <v>1.0</v>
      </c>
      <c r="G667" s="15">
        <v>2022.0</v>
      </c>
    </row>
    <row r="668" ht="15.75" customHeight="1">
      <c r="A668" s="15" t="s">
        <v>1015</v>
      </c>
      <c r="B668" s="15">
        <v>1.0</v>
      </c>
      <c r="C668" s="15">
        <v>1.0</v>
      </c>
      <c r="D668" s="15">
        <v>0.166666666666667</v>
      </c>
      <c r="E668" s="15">
        <v>6.0</v>
      </c>
      <c r="F668" s="15">
        <v>1.0</v>
      </c>
      <c r="G668" s="15">
        <v>2019.0</v>
      </c>
    </row>
    <row r="669" ht="15.75" customHeight="1">
      <c r="A669" s="15" t="s">
        <v>1016</v>
      </c>
      <c r="B669" s="15">
        <v>1.0</v>
      </c>
      <c r="C669" s="15">
        <v>1.0</v>
      </c>
      <c r="D669" s="15">
        <v>0.5</v>
      </c>
      <c r="E669" s="15">
        <v>1.0</v>
      </c>
      <c r="F669" s="15">
        <v>1.0</v>
      </c>
      <c r="G669" s="15">
        <v>2023.0</v>
      </c>
    </row>
    <row r="670" ht="15.75" customHeight="1">
      <c r="A670" s="15" t="s">
        <v>1017</v>
      </c>
      <c r="B670" s="15">
        <v>1.0</v>
      </c>
      <c r="C670" s="15">
        <v>1.0</v>
      </c>
      <c r="D670" s="15">
        <v>0.25</v>
      </c>
      <c r="E670" s="15">
        <v>1.0</v>
      </c>
      <c r="F670" s="15">
        <v>1.0</v>
      </c>
      <c r="G670" s="15">
        <v>2021.0</v>
      </c>
    </row>
    <row r="671" ht="15.75" customHeight="1">
      <c r="A671" s="15" t="s">
        <v>1018</v>
      </c>
      <c r="B671" s="15">
        <v>1.0</v>
      </c>
      <c r="C671" s="15">
        <v>1.0</v>
      </c>
      <c r="D671" s="15">
        <v>0.5</v>
      </c>
      <c r="E671" s="15">
        <v>1.0</v>
      </c>
      <c r="F671" s="15">
        <v>1.0</v>
      </c>
      <c r="G671" s="15">
        <v>2023.0</v>
      </c>
    </row>
    <row r="672" ht="15.75" customHeight="1">
      <c r="A672" s="15" t="s">
        <v>1019</v>
      </c>
      <c r="B672" s="15">
        <v>1.0</v>
      </c>
      <c r="C672" s="15">
        <v>1.0</v>
      </c>
      <c r="D672" s="15">
        <v>1.0</v>
      </c>
      <c r="E672" s="15">
        <v>1.0</v>
      </c>
      <c r="F672" s="15">
        <v>1.0</v>
      </c>
      <c r="G672" s="15">
        <v>2024.0</v>
      </c>
    </row>
    <row r="673" ht="15.75" customHeight="1">
      <c r="A673" s="15" t="s">
        <v>1020</v>
      </c>
      <c r="B673" s="15">
        <v>1.0</v>
      </c>
      <c r="C673" s="15">
        <v>1.0</v>
      </c>
      <c r="D673" s="15">
        <v>0.2</v>
      </c>
      <c r="E673" s="15">
        <v>36.0</v>
      </c>
      <c r="F673" s="15">
        <v>1.0</v>
      </c>
      <c r="G673" s="15">
        <v>2020.0</v>
      </c>
    </row>
    <row r="674" ht="15.75" customHeight="1">
      <c r="A674" s="15" t="s">
        <v>1021</v>
      </c>
      <c r="B674" s="15">
        <v>1.0</v>
      </c>
      <c r="C674" s="15">
        <v>1.0</v>
      </c>
      <c r="D674" s="15">
        <v>0.25</v>
      </c>
      <c r="E674" s="15">
        <v>23.0</v>
      </c>
      <c r="F674" s="15">
        <v>1.0</v>
      </c>
      <c r="G674" s="15">
        <v>2021.0</v>
      </c>
    </row>
    <row r="675" ht="15.75" customHeight="1">
      <c r="A675" s="15" t="s">
        <v>1022</v>
      </c>
      <c r="B675" s="15">
        <v>1.0</v>
      </c>
      <c r="C675" s="15">
        <v>1.0</v>
      </c>
      <c r="D675" s="15">
        <v>0.5</v>
      </c>
      <c r="E675" s="15">
        <v>13.0</v>
      </c>
      <c r="F675" s="15">
        <v>1.0</v>
      </c>
      <c r="G675" s="15">
        <v>2023.0</v>
      </c>
    </row>
    <row r="676" ht="15.75" customHeight="1">
      <c r="A676" s="15" t="s">
        <v>1023</v>
      </c>
      <c r="B676" s="15">
        <v>1.0</v>
      </c>
      <c r="C676" s="15">
        <v>1.0</v>
      </c>
      <c r="D676" s="15">
        <v>0.25</v>
      </c>
      <c r="E676" s="15">
        <v>5.0</v>
      </c>
      <c r="F676" s="15">
        <v>1.0</v>
      </c>
      <c r="G676" s="15">
        <v>2021.0</v>
      </c>
    </row>
    <row r="677" ht="15.75" customHeight="1">
      <c r="A677" s="15" t="s">
        <v>1024</v>
      </c>
      <c r="B677" s="15">
        <v>1.0</v>
      </c>
      <c r="C677" s="15">
        <v>1.0</v>
      </c>
      <c r="D677" s="15">
        <v>0.25</v>
      </c>
      <c r="E677" s="15">
        <v>11.0</v>
      </c>
      <c r="F677" s="15">
        <v>1.0</v>
      </c>
      <c r="G677" s="15">
        <v>2021.0</v>
      </c>
    </row>
    <row r="678" ht="15.75" customHeight="1">
      <c r="A678" s="15" t="s">
        <v>1025</v>
      </c>
      <c r="B678" s="15">
        <v>1.0</v>
      </c>
      <c r="C678" s="15">
        <v>1.0</v>
      </c>
      <c r="D678" s="15">
        <v>0.25</v>
      </c>
      <c r="E678" s="15">
        <v>1.0</v>
      </c>
      <c r="F678" s="15">
        <v>1.0</v>
      </c>
      <c r="G678" s="15">
        <v>2021.0</v>
      </c>
    </row>
    <row r="679" ht="15.75" customHeight="1">
      <c r="A679" s="15" t="s">
        <v>1026</v>
      </c>
      <c r="B679" s="15">
        <v>1.0</v>
      </c>
      <c r="C679" s="15">
        <v>1.0</v>
      </c>
      <c r="D679" s="15">
        <v>0.1</v>
      </c>
      <c r="E679" s="15">
        <v>40.0</v>
      </c>
      <c r="F679" s="15">
        <v>1.0</v>
      </c>
      <c r="G679" s="15">
        <v>2015.0</v>
      </c>
    </row>
    <row r="680" ht="15.75" customHeight="1">
      <c r="A680" s="15" t="s">
        <v>1027</v>
      </c>
      <c r="B680" s="15">
        <v>1.0</v>
      </c>
      <c r="C680" s="15">
        <v>1.0</v>
      </c>
      <c r="D680" s="15">
        <v>1.0</v>
      </c>
      <c r="E680" s="15">
        <v>2.0</v>
      </c>
      <c r="F680" s="15">
        <v>1.0</v>
      </c>
      <c r="G680" s="15">
        <v>2024.0</v>
      </c>
    </row>
    <row r="681" ht="15.75" customHeight="1">
      <c r="A681" s="15" t="s">
        <v>1028</v>
      </c>
      <c r="B681" s="15">
        <v>1.0</v>
      </c>
      <c r="C681" s="15">
        <v>1.0</v>
      </c>
      <c r="D681" s="15">
        <v>0.0625</v>
      </c>
      <c r="E681" s="15">
        <v>3.0</v>
      </c>
      <c r="F681" s="15">
        <v>1.0</v>
      </c>
      <c r="G681" s="15">
        <v>2009.0</v>
      </c>
    </row>
    <row r="682" ht="15.75" customHeight="1">
      <c r="A682" s="15" t="s">
        <v>1029</v>
      </c>
      <c r="B682" s="15">
        <v>1.0</v>
      </c>
      <c r="C682" s="15">
        <v>1.0</v>
      </c>
      <c r="D682" s="15">
        <v>0.333333333333333</v>
      </c>
      <c r="E682" s="15">
        <v>32.0</v>
      </c>
      <c r="F682" s="15">
        <v>1.0</v>
      </c>
      <c r="G682" s="15">
        <v>2022.0</v>
      </c>
    </row>
    <row r="683" ht="15.75" customHeight="1">
      <c r="A683" s="15" t="s">
        <v>1030</v>
      </c>
      <c r="B683" s="15">
        <v>1.0</v>
      </c>
      <c r="C683" s="15">
        <v>1.0</v>
      </c>
      <c r="D683" s="15">
        <v>0.25</v>
      </c>
      <c r="E683" s="15">
        <v>6.0</v>
      </c>
      <c r="F683" s="15">
        <v>1.0</v>
      </c>
      <c r="G683" s="15">
        <v>2021.0</v>
      </c>
    </row>
    <row r="684" ht="15.75" customHeight="1">
      <c r="A684" s="15" t="s">
        <v>1031</v>
      </c>
      <c r="B684" s="15">
        <v>1.0</v>
      </c>
      <c r="C684" s="15">
        <v>1.0</v>
      </c>
      <c r="D684" s="15">
        <v>0.25</v>
      </c>
      <c r="E684" s="15">
        <v>44.0</v>
      </c>
      <c r="F684" s="15">
        <v>1.0</v>
      </c>
      <c r="G684" s="15">
        <v>2021.0</v>
      </c>
    </row>
    <row r="685" ht="15.75" customHeight="1">
      <c r="A685" s="15" t="s">
        <v>1032</v>
      </c>
      <c r="B685" s="15">
        <v>1.0</v>
      </c>
      <c r="C685" s="15">
        <v>1.0</v>
      </c>
      <c r="D685" s="15">
        <v>0.2</v>
      </c>
      <c r="E685" s="15">
        <v>7.0</v>
      </c>
      <c r="F685" s="15">
        <v>1.0</v>
      </c>
      <c r="G685" s="15">
        <v>2020.0</v>
      </c>
    </row>
    <row r="686" ht="15.75" customHeight="1">
      <c r="A686" s="15" t="s">
        <v>1033</v>
      </c>
      <c r="B686" s="15">
        <v>1.0</v>
      </c>
      <c r="C686" s="15">
        <v>1.0</v>
      </c>
      <c r="D686" s="15">
        <v>0.1</v>
      </c>
      <c r="E686" s="15">
        <v>8.0</v>
      </c>
      <c r="F686" s="15">
        <v>1.0</v>
      </c>
      <c r="G686" s="15">
        <v>2015.0</v>
      </c>
    </row>
    <row r="687" ht="15.75" customHeight="1">
      <c r="A687" s="15" t="s">
        <v>1034</v>
      </c>
      <c r="B687" s="15">
        <v>1.0</v>
      </c>
      <c r="C687" s="15">
        <v>1.0</v>
      </c>
      <c r="D687" s="15">
        <v>0.5</v>
      </c>
      <c r="E687" s="15">
        <v>2.0</v>
      </c>
      <c r="F687" s="15">
        <v>1.0</v>
      </c>
      <c r="G687" s="15">
        <v>2023.0</v>
      </c>
    </row>
    <row r="688" ht="15.75" customHeight="1">
      <c r="A688" s="15" t="s">
        <v>1035</v>
      </c>
      <c r="B688" s="15">
        <v>1.0</v>
      </c>
      <c r="C688" s="15">
        <v>1.0</v>
      </c>
      <c r="D688" s="15">
        <v>0.5</v>
      </c>
      <c r="E688" s="15">
        <v>2.0</v>
      </c>
      <c r="F688" s="15">
        <v>1.0</v>
      </c>
      <c r="G688" s="15">
        <v>2023.0</v>
      </c>
    </row>
    <row r="689" ht="15.75" customHeight="1">
      <c r="A689" s="15" t="s">
        <v>1036</v>
      </c>
      <c r="B689" s="15">
        <v>1.0</v>
      </c>
      <c r="C689" s="15">
        <v>1.0</v>
      </c>
      <c r="D689" s="15">
        <v>0.25</v>
      </c>
      <c r="E689" s="15">
        <v>1.0</v>
      </c>
      <c r="F689" s="15">
        <v>1.0</v>
      </c>
      <c r="G689" s="15">
        <v>2021.0</v>
      </c>
    </row>
    <row r="690" ht="15.75" customHeight="1">
      <c r="A690" s="15" t="s">
        <v>1037</v>
      </c>
      <c r="B690" s="15">
        <v>1.0</v>
      </c>
      <c r="C690" s="15">
        <v>1.0</v>
      </c>
      <c r="D690" s="15">
        <v>0.2</v>
      </c>
      <c r="E690" s="15">
        <v>50.0</v>
      </c>
      <c r="F690" s="15">
        <v>1.0</v>
      </c>
      <c r="G690" s="15">
        <v>2020.0</v>
      </c>
    </row>
    <row r="691" ht="15.75" customHeight="1">
      <c r="A691" s="15" t="s">
        <v>1038</v>
      </c>
      <c r="B691" s="15">
        <v>1.0</v>
      </c>
      <c r="C691" s="15">
        <v>1.0</v>
      </c>
      <c r="D691" s="15">
        <v>0.5</v>
      </c>
      <c r="E691" s="15">
        <v>3.0</v>
      </c>
      <c r="F691" s="15">
        <v>1.0</v>
      </c>
      <c r="G691" s="15">
        <v>2023.0</v>
      </c>
    </row>
    <row r="692" ht="15.75" customHeight="1">
      <c r="A692" s="15" t="s">
        <v>1039</v>
      </c>
      <c r="B692" s="15">
        <v>1.0</v>
      </c>
      <c r="C692" s="15">
        <v>1.0</v>
      </c>
      <c r="D692" s="15">
        <v>0.5</v>
      </c>
      <c r="E692" s="15">
        <v>7.0</v>
      </c>
      <c r="F692" s="15">
        <v>1.0</v>
      </c>
      <c r="G692" s="15">
        <v>2023.0</v>
      </c>
    </row>
    <row r="693" ht="15.75" customHeight="1">
      <c r="A693" s="15" t="s">
        <v>1040</v>
      </c>
      <c r="B693" s="15">
        <v>1.0</v>
      </c>
      <c r="C693" s="15">
        <v>1.0</v>
      </c>
      <c r="D693" s="15">
        <v>0.333333333333333</v>
      </c>
      <c r="E693" s="15">
        <v>3.0</v>
      </c>
      <c r="F693" s="15">
        <v>1.0</v>
      </c>
      <c r="G693" s="15">
        <v>2022.0</v>
      </c>
    </row>
    <row r="694" ht="15.75" customHeight="1">
      <c r="A694" s="15" t="s">
        <v>1041</v>
      </c>
      <c r="B694" s="15">
        <v>1.0</v>
      </c>
      <c r="C694" s="15">
        <v>1.0</v>
      </c>
      <c r="D694" s="15">
        <v>0.5</v>
      </c>
      <c r="E694" s="15">
        <v>2.0</v>
      </c>
      <c r="F694" s="15">
        <v>1.0</v>
      </c>
      <c r="G694" s="15">
        <v>2023.0</v>
      </c>
    </row>
    <row r="695" ht="15.75" customHeight="1">
      <c r="A695" s="15" t="s">
        <v>1042</v>
      </c>
      <c r="B695" s="15">
        <v>1.0</v>
      </c>
      <c r="C695" s="15">
        <v>1.0</v>
      </c>
      <c r="D695" s="15">
        <v>1.0</v>
      </c>
      <c r="E695" s="15">
        <v>1.0</v>
      </c>
      <c r="F695" s="15">
        <v>1.0</v>
      </c>
      <c r="G695" s="15">
        <v>2024.0</v>
      </c>
    </row>
    <row r="696" ht="15.75" customHeight="1">
      <c r="A696" s="15" t="s">
        <v>1043</v>
      </c>
      <c r="B696" s="15">
        <v>1.0</v>
      </c>
      <c r="C696" s="15">
        <v>1.0</v>
      </c>
      <c r="D696" s="15">
        <v>0.125</v>
      </c>
      <c r="E696" s="15">
        <v>23.0</v>
      </c>
      <c r="F696" s="15">
        <v>1.0</v>
      </c>
      <c r="G696" s="15">
        <v>2017.0</v>
      </c>
    </row>
    <row r="697" ht="15.75" customHeight="1">
      <c r="A697" s="15" t="s">
        <v>1044</v>
      </c>
      <c r="B697" s="15">
        <v>1.0</v>
      </c>
      <c r="C697" s="15">
        <v>1.0</v>
      </c>
      <c r="D697" s="15">
        <v>0.5</v>
      </c>
      <c r="E697" s="15">
        <v>2.0</v>
      </c>
      <c r="F697" s="15">
        <v>1.0</v>
      </c>
      <c r="G697" s="15">
        <v>2023.0</v>
      </c>
    </row>
    <row r="698" ht="15.75" customHeight="1">
      <c r="A698" s="15" t="s">
        <v>1045</v>
      </c>
      <c r="B698" s="15">
        <v>1.0</v>
      </c>
      <c r="C698" s="15">
        <v>1.0</v>
      </c>
      <c r="D698" s="15">
        <v>0.333333333333333</v>
      </c>
      <c r="E698" s="15">
        <v>1.0</v>
      </c>
      <c r="F698" s="15">
        <v>1.0</v>
      </c>
      <c r="G698" s="15">
        <v>2022.0</v>
      </c>
    </row>
    <row r="699" ht="15.75" customHeight="1">
      <c r="A699" s="15" t="s">
        <v>1046</v>
      </c>
      <c r="B699" s="15">
        <v>1.0</v>
      </c>
      <c r="C699" s="15">
        <v>1.0</v>
      </c>
      <c r="D699" s="15">
        <v>0.1</v>
      </c>
      <c r="E699" s="15">
        <v>40.0</v>
      </c>
      <c r="F699" s="15">
        <v>1.0</v>
      </c>
      <c r="G699" s="15">
        <v>2015.0</v>
      </c>
    </row>
    <row r="700" ht="15.75" customHeight="1">
      <c r="A700" s="15" t="s">
        <v>1047</v>
      </c>
      <c r="B700" s="15">
        <v>1.0</v>
      </c>
      <c r="C700" s="15">
        <v>1.0</v>
      </c>
      <c r="D700" s="15">
        <v>0.0625</v>
      </c>
      <c r="E700" s="15">
        <v>2.0</v>
      </c>
      <c r="F700" s="15">
        <v>1.0</v>
      </c>
      <c r="G700" s="15">
        <v>2009.0</v>
      </c>
    </row>
    <row r="701" ht="15.75" customHeight="1">
      <c r="A701" s="15" t="s">
        <v>1048</v>
      </c>
      <c r="B701" s="15">
        <v>1.0</v>
      </c>
      <c r="C701" s="15">
        <v>1.0</v>
      </c>
      <c r="D701" s="15">
        <v>0.333333333333333</v>
      </c>
      <c r="E701" s="15">
        <v>6.0</v>
      </c>
      <c r="F701" s="15">
        <v>1.0</v>
      </c>
      <c r="G701" s="15">
        <v>2022.0</v>
      </c>
    </row>
    <row r="702" ht="15.75" customHeight="1">
      <c r="A702" s="15" t="s">
        <v>1049</v>
      </c>
      <c r="B702" s="15">
        <v>1.0</v>
      </c>
      <c r="C702" s="15">
        <v>1.0</v>
      </c>
      <c r="D702" s="15">
        <v>0.5</v>
      </c>
      <c r="E702" s="15">
        <v>2.0</v>
      </c>
      <c r="F702" s="15">
        <v>1.0</v>
      </c>
      <c r="G702" s="15">
        <v>2023.0</v>
      </c>
    </row>
    <row r="703" ht="15.75" customHeight="1">
      <c r="A703" s="15" t="s">
        <v>1050</v>
      </c>
      <c r="B703" s="15">
        <v>1.0</v>
      </c>
      <c r="C703" s="15">
        <v>1.0</v>
      </c>
      <c r="D703" s="15">
        <v>0.333333333333333</v>
      </c>
      <c r="E703" s="15">
        <v>2.0</v>
      </c>
      <c r="F703" s="15">
        <v>1.0</v>
      </c>
      <c r="G703" s="15">
        <v>2022.0</v>
      </c>
    </row>
    <row r="704" ht="15.75" customHeight="1">
      <c r="A704" s="15" t="s">
        <v>1051</v>
      </c>
      <c r="B704" s="15">
        <v>1.0</v>
      </c>
      <c r="C704" s="15">
        <v>1.0</v>
      </c>
      <c r="D704" s="15">
        <v>0.5</v>
      </c>
      <c r="E704" s="15">
        <v>1.0</v>
      </c>
      <c r="F704" s="15">
        <v>1.0</v>
      </c>
      <c r="G704" s="15">
        <v>2023.0</v>
      </c>
    </row>
    <row r="705" ht="15.75" customHeight="1">
      <c r="A705" s="15" t="s">
        <v>1052</v>
      </c>
      <c r="B705" s="15">
        <v>1.0</v>
      </c>
      <c r="C705" s="15">
        <v>1.0</v>
      </c>
      <c r="D705" s="15">
        <v>0.25</v>
      </c>
      <c r="E705" s="15">
        <v>1.0</v>
      </c>
      <c r="F705" s="15">
        <v>1.0</v>
      </c>
      <c r="G705" s="15">
        <v>2021.0</v>
      </c>
    </row>
    <row r="706" ht="15.75" customHeight="1">
      <c r="A706" s="15" t="s">
        <v>1053</v>
      </c>
      <c r="B706" s="15">
        <v>1.0</v>
      </c>
      <c r="C706" s="15">
        <v>1.0</v>
      </c>
      <c r="D706" s="15">
        <v>0.333333333333333</v>
      </c>
      <c r="E706" s="15">
        <v>6.0</v>
      </c>
      <c r="F706" s="15">
        <v>1.0</v>
      </c>
      <c r="G706" s="15">
        <v>2022.0</v>
      </c>
    </row>
    <row r="707" ht="15.75" customHeight="1">
      <c r="A707" s="15" t="s">
        <v>1054</v>
      </c>
      <c r="B707" s="15">
        <v>1.0</v>
      </c>
      <c r="C707" s="15">
        <v>1.0</v>
      </c>
      <c r="D707" s="15">
        <v>0.166666666666667</v>
      </c>
      <c r="E707" s="15">
        <v>4.0</v>
      </c>
      <c r="F707" s="15">
        <v>1.0</v>
      </c>
      <c r="G707" s="15">
        <v>2019.0</v>
      </c>
    </row>
    <row r="708" ht="15.75" customHeight="1">
      <c r="A708" s="15" t="s">
        <v>1055</v>
      </c>
      <c r="B708" s="15">
        <v>1.0</v>
      </c>
      <c r="C708" s="15">
        <v>1.0</v>
      </c>
      <c r="D708" s="15">
        <v>0.2</v>
      </c>
      <c r="E708" s="15">
        <v>15.0</v>
      </c>
      <c r="F708" s="15">
        <v>1.0</v>
      </c>
      <c r="G708" s="15">
        <v>2020.0</v>
      </c>
    </row>
    <row r="709" ht="15.75" customHeight="1">
      <c r="A709" s="15" t="s">
        <v>1056</v>
      </c>
      <c r="B709" s="15">
        <v>1.0</v>
      </c>
      <c r="C709" s="15">
        <v>1.0</v>
      </c>
      <c r="D709" s="15">
        <v>0.25</v>
      </c>
      <c r="E709" s="15">
        <v>23.0</v>
      </c>
      <c r="F709" s="15">
        <v>1.0</v>
      </c>
      <c r="G709" s="15">
        <v>2021.0</v>
      </c>
    </row>
    <row r="710" ht="15.75" customHeight="1">
      <c r="A710" s="15" t="s">
        <v>1057</v>
      </c>
      <c r="B710" s="15">
        <v>1.0</v>
      </c>
      <c r="C710" s="15">
        <v>1.0</v>
      </c>
      <c r="D710" s="15">
        <v>0.2</v>
      </c>
      <c r="E710" s="15">
        <v>2.0</v>
      </c>
      <c r="F710" s="15">
        <v>1.0</v>
      </c>
      <c r="G710" s="15">
        <v>2020.0</v>
      </c>
    </row>
    <row r="711" ht="15.75" customHeight="1">
      <c r="A711" s="15" t="s">
        <v>1058</v>
      </c>
      <c r="B711" s="15">
        <v>1.0</v>
      </c>
      <c r="C711" s="15">
        <v>1.0</v>
      </c>
      <c r="D711" s="15">
        <v>1.0</v>
      </c>
      <c r="E711" s="15">
        <v>11.0</v>
      </c>
      <c r="F711" s="15">
        <v>1.0</v>
      </c>
      <c r="G711" s="15">
        <v>2024.0</v>
      </c>
    </row>
    <row r="712" ht="15.75" customHeight="1">
      <c r="A712" s="15" t="s">
        <v>1059</v>
      </c>
      <c r="B712" s="15">
        <v>1.0</v>
      </c>
      <c r="C712" s="15">
        <v>1.0</v>
      </c>
      <c r="D712" s="15">
        <v>0.25</v>
      </c>
      <c r="E712" s="15">
        <v>12.0</v>
      </c>
      <c r="F712" s="15">
        <v>1.0</v>
      </c>
      <c r="G712" s="15">
        <v>2021.0</v>
      </c>
    </row>
    <row r="713" ht="15.75" customHeight="1">
      <c r="A713" s="15" t="s">
        <v>1060</v>
      </c>
      <c r="B713" s="15">
        <v>1.0</v>
      </c>
      <c r="C713" s="15">
        <v>1.0</v>
      </c>
      <c r="D713" s="15">
        <v>0.2</v>
      </c>
      <c r="E713" s="15">
        <v>36.0</v>
      </c>
      <c r="F713" s="15">
        <v>1.0</v>
      </c>
      <c r="G713" s="15">
        <v>2020.0</v>
      </c>
    </row>
    <row r="714" ht="15.75" customHeight="1">
      <c r="A714" s="15" t="s">
        <v>1061</v>
      </c>
      <c r="B714" s="15">
        <v>1.0</v>
      </c>
      <c r="C714" s="15">
        <v>1.0</v>
      </c>
      <c r="D714" s="15">
        <v>0.333333333333333</v>
      </c>
      <c r="E714" s="15">
        <v>6.0</v>
      </c>
      <c r="F714" s="15">
        <v>1.0</v>
      </c>
      <c r="G714" s="15">
        <v>2022.0</v>
      </c>
    </row>
    <row r="715" ht="15.75" customHeight="1">
      <c r="A715" s="15" t="s">
        <v>1062</v>
      </c>
      <c r="B715" s="15">
        <v>1.0</v>
      </c>
      <c r="C715" s="15">
        <v>1.0</v>
      </c>
      <c r="D715" s="15">
        <v>0.5</v>
      </c>
      <c r="E715" s="15">
        <v>1.0</v>
      </c>
      <c r="F715" s="15">
        <v>1.0</v>
      </c>
      <c r="G715" s="15">
        <v>2023.0</v>
      </c>
    </row>
    <row r="716" ht="15.75" customHeight="1">
      <c r="A716" s="15" t="s">
        <v>1063</v>
      </c>
      <c r="B716" s="15">
        <v>1.0</v>
      </c>
      <c r="C716" s="15">
        <v>1.0</v>
      </c>
      <c r="D716" s="15">
        <v>0.0769230769230769</v>
      </c>
      <c r="E716" s="15">
        <v>8.0</v>
      </c>
      <c r="F716" s="15">
        <v>1.0</v>
      </c>
      <c r="G716" s="15">
        <v>2012.0</v>
      </c>
    </row>
    <row r="717" ht="15.75" customHeight="1">
      <c r="A717" s="15" t="s">
        <v>1064</v>
      </c>
      <c r="B717" s="15">
        <v>1.0</v>
      </c>
      <c r="C717" s="15">
        <v>1.0</v>
      </c>
      <c r="D717" s="15">
        <v>0.166666666666667</v>
      </c>
      <c r="E717" s="15">
        <v>1.0</v>
      </c>
      <c r="F717" s="15">
        <v>1.0</v>
      </c>
      <c r="G717" s="15">
        <v>2019.0</v>
      </c>
    </row>
    <row r="718" ht="15.75" customHeight="1">
      <c r="A718" s="15" t="s">
        <v>1065</v>
      </c>
      <c r="B718" s="15">
        <v>1.0</v>
      </c>
      <c r="C718" s="15">
        <v>1.0</v>
      </c>
      <c r="D718" s="15">
        <v>0.2</v>
      </c>
      <c r="E718" s="15">
        <v>50.0</v>
      </c>
      <c r="F718" s="15">
        <v>1.0</v>
      </c>
      <c r="G718" s="15">
        <v>2020.0</v>
      </c>
    </row>
    <row r="719" ht="15.75" customHeight="1">
      <c r="A719" s="15" t="s">
        <v>1066</v>
      </c>
      <c r="B719" s="15">
        <v>1.0</v>
      </c>
      <c r="C719" s="15">
        <v>1.0</v>
      </c>
      <c r="D719" s="15">
        <v>0.142857142857143</v>
      </c>
      <c r="E719" s="15">
        <v>41.0</v>
      </c>
      <c r="F719" s="15">
        <v>1.0</v>
      </c>
      <c r="G719" s="15">
        <v>2018.0</v>
      </c>
    </row>
    <row r="720" ht="15.75" customHeight="1">
      <c r="A720" s="15" t="s">
        <v>1067</v>
      </c>
      <c r="B720" s="15">
        <v>1.0</v>
      </c>
      <c r="C720" s="15">
        <v>1.0</v>
      </c>
      <c r="D720" s="15">
        <v>0.5</v>
      </c>
      <c r="E720" s="15">
        <v>2.0</v>
      </c>
      <c r="F720" s="15">
        <v>1.0</v>
      </c>
      <c r="G720" s="15">
        <v>2023.0</v>
      </c>
    </row>
    <row r="721" ht="15.75" customHeight="1">
      <c r="A721" s="15" t="s">
        <v>1068</v>
      </c>
      <c r="B721" s="15">
        <v>1.0</v>
      </c>
      <c r="C721" s="15">
        <v>1.0</v>
      </c>
      <c r="D721" s="15">
        <v>0.25</v>
      </c>
      <c r="E721" s="15">
        <v>6.0</v>
      </c>
      <c r="F721" s="15">
        <v>1.0</v>
      </c>
      <c r="G721" s="15">
        <v>2021.0</v>
      </c>
    </row>
    <row r="722" ht="15.75" customHeight="1">
      <c r="A722" s="15" t="s">
        <v>1069</v>
      </c>
      <c r="B722" s="15">
        <v>1.0</v>
      </c>
      <c r="C722" s="15">
        <v>1.0</v>
      </c>
      <c r="D722" s="15">
        <v>0.25</v>
      </c>
      <c r="E722" s="15">
        <v>1.0</v>
      </c>
      <c r="F722" s="15">
        <v>1.0</v>
      </c>
      <c r="G722" s="15">
        <v>2021.0</v>
      </c>
    </row>
    <row r="723" ht="15.75" customHeight="1">
      <c r="A723" s="15" t="s">
        <v>1070</v>
      </c>
      <c r="B723" s="15">
        <v>1.0</v>
      </c>
      <c r="C723" s="15">
        <v>1.0</v>
      </c>
      <c r="D723" s="15">
        <v>0.0714285714285714</v>
      </c>
      <c r="E723" s="15">
        <v>33.0</v>
      </c>
      <c r="F723" s="15">
        <v>1.0</v>
      </c>
      <c r="G723" s="15">
        <v>2011.0</v>
      </c>
    </row>
    <row r="724" ht="15.75" customHeight="1">
      <c r="A724" s="15" t="s">
        <v>1071</v>
      </c>
      <c r="B724" s="15">
        <v>1.0</v>
      </c>
      <c r="C724" s="15">
        <v>1.0</v>
      </c>
      <c r="D724" s="15">
        <v>0.5</v>
      </c>
      <c r="E724" s="15">
        <v>1.0</v>
      </c>
      <c r="F724" s="15">
        <v>1.0</v>
      </c>
      <c r="G724" s="15">
        <v>2023.0</v>
      </c>
    </row>
    <row r="725" ht="15.75" customHeight="1">
      <c r="A725" s="15" t="s">
        <v>1072</v>
      </c>
      <c r="B725" s="15">
        <v>1.0</v>
      </c>
      <c r="C725" s="15">
        <v>1.0</v>
      </c>
      <c r="D725" s="15">
        <v>0.5</v>
      </c>
      <c r="E725" s="15">
        <v>2.0</v>
      </c>
      <c r="F725" s="15">
        <v>1.0</v>
      </c>
      <c r="G725" s="15">
        <v>2023.0</v>
      </c>
    </row>
    <row r="726" ht="15.75" customHeight="1">
      <c r="A726" s="15" t="s">
        <v>1073</v>
      </c>
      <c r="B726" s="15">
        <v>1.0</v>
      </c>
      <c r="C726" s="15">
        <v>1.0</v>
      </c>
      <c r="D726" s="15">
        <v>0.5</v>
      </c>
      <c r="E726" s="15">
        <v>1.0</v>
      </c>
      <c r="F726" s="15">
        <v>1.0</v>
      </c>
      <c r="G726" s="15">
        <v>2023.0</v>
      </c>
    </row>
    <row r="727" ht="15.75" customHeight="1">
      <c r="A727" s="15" t="s">
        <v>1074</v>
      </c>
      <c r="B727" s="15">
        <v>1.0</v>
      </c>
      <c r="C727" s="15">
        <v>1.0</v>
      </c>
      <c r="D727" s="15">
        <v>0.333333333333333</v>
      </c>
      <c r="E727" s="15">
        <v>1.0</v>
      </c>
      <c r="F727" s="15">
        <v>1.0</v>
      </c>
      <c r="G727" s="15">
        <v>2022.0</v>
      </c>
    </row>
    <row r="728" ht="15.75" customHeight="1">
      <c r="A728" s="15" t="s">
        <v>1075</v>
      </c>
      <c r="B728" s="15">
        <v>1.0</v>
      </c>
      <c r="C728" s="15">
        <v>1.0</v>
      </c>
      <c r="D728" s="15">
        <v>1.0</v>
      </c>
      <c r="E728" s="15">
        <v>2.0</v>
      </c>
      <c r="F728" s="15">
        <v>1.0</v>
      </c>
      <c r="G728" s="15">
        <v>2024.0</v>
      </c>
    </row>
    <row r="729" ht="15.75" customHeight="1">
      <c r="A729" s="15" t="s">
        <v>1076</v>
      </c>
      <c r="B729" s="15">
        <v>1.0</v>
      </c>
      <c r="C729" s="15">
        <v>1.0</v>
      </c>
      <c r="D729" s="15">
        <v>0.0833333333333333</v>
      </c>
      <c r="E729" s="15">
        <v>5.0</v>
      </c>
      <c r="F729" s="15">
        <v>1.0</v>
      </c>
      <c r="G729" s="15">
        <v>2013.0</v>
      </c>
    </row>
    <row r="730" ht="15.75" customHeight="1">
      <c r="A730" s="15" t="s">
        <v>1077</v>
      </c>
      <c r="B730" s="15">
        <v>1.0</v>
      </c>
      <c r="C730" s="15">
        <v>1.0</v>
      </c>
      <c r="D730" s="15">
        <v>0.0909090909090909</v>
      </c>
      <c r="E730" s="15">
        <v>2.0</v>
      </c>
      <c r="F730" s="15">
        <v>1.0</v>
      </c>
      <c r="G730" s="15">
        <v>2014.0</v>
      </c>
    </row>
    <row r="731" ht="15.75" customHeight="1">
      <c r="A731" s="15" t="s">
        <v>1078</v>
      </c>
      <c r="B731" s="15">
        <v>1.0</v>
      </c>
      <c r="C731" s="15">
        <v>1.0</v>
      </c>
      <c r="D731" s="15">
        <v>0.25</v>
      </c>
      <c r="E731" s="15">
        <v>12.0</v>
      </c>
      <c r="F731" s="15">
        <v>1.0</v>
      </c>
      <c r="G731" s="15">
        <v>2021.0</v>
      </c>
    </row>
    <row r="732" ht="15.75" customHeight="1">
      <c r="A732" s="15" t="s">
        <v>1079</v>
      </c>
      <c r="B732" s="15">
        <v>1.0</v>
      </c>
      <c r="C732" s="15">
        <v>1.0</v>
      </c>
      <c r="D732" s="15">
        <v>0.2</v>
      </c>
      <c r="E732" s="15">
        <v>21.0</v>
      </c>
      <c r="F732" s="15">
        <v>1.0</v>
      </c>
      <c r="G732" s="15">
        <v>2020.0</v>
      </c>
    </row>
    <row r="733" ht="15.75" customHeight="1">
      <c r="A733" s="15" t="s">
        <v>1080</v>
      </c>
      <c r="B733" s="15">
        <v>1.0</v>
      </c>
      <c r="C733" s="15">
        <v>1.0</v>
      </c>
      <c r="D733" s="15">
        <v>0.2</v>
      </c>
      <c r="E733" s="15">
        <v>15.0</v>
      </c>
      <c r="F733" s="15">
        <v>1.0</v>
      </c>
      <c r="G733" s="15">
        <v>2020.0</v>
      </c>
    </row>
    <row r="734" ht="15.75" customHeight="1">
      <c r="A734" s="15" t="s">
        <v>1081</v>
      </c>
      <c r="B734" s="15">
        <v>1.0</v>
      </c>
      <c r="C734" s="15">
        <v>1.0</v>
      </c>
      <c r="D734" s="15">
        <v>1.0</v>
      </c>
      <c r="E734" s="15">
        <v>3.0</v>
      </c>
      <c r="F734" s="15">
        <v>1.0</v>
      </c>
      <c r="G734" s="15">
        <v>2024.0</v>
      </c>
    </row>
    <row r="735" ht="15.75" customHeight="1">
      <c r="A735" s="15" t="s">
        <v>1082</v>
      </c>
      <c r="B735" s="15">
        <v>1.0</v>
      </c>
      <c r="C735" s="15">
        <v>1.0</v>
      </c>
      <c r="D735" s="15">
        <v>0.166666666666667</v>
      </c>
      <c r="E735" s="15">
        <v>11.0</v>
      </c>
      <c r="F735" s="15">
        <v>1.0</v>
      </c>
      <c r="G735" s="15">
        <v>2019.0</v>
      </c>
    </row>
    <row r="736" ht="15.75" customHeight="1">
      <c r="A736" s="15" t="s">
        <v>1083</v>
      </c>
      <c r="B736" s="15">
        <v>1.0</v>
      </c>
      <c r="C736" s="15">
        <v>1.0</v>
      </c>
      <c r="D736" s="15">
        <v>0.25</v>
      </c>
      <c r="E736" s="15">
        <v>58.0</v>
      </c>
      <c r="F736" s="15">
        <v>1.0</v>
      </c>
      <c r="G736" s="15">
        <v>2021.0</v>
      </c>
    </row>
    <row r="737" ht="15.75" customHeight="1">
      <c r="A737" s="15" t="s">
        <v>1084</v>
      </c>
      <c r="B737" s="15">
        <v>1.0</v>
      </c>
      <c r="C737" s="15">
        <v>1.0</v>
      </c>
      <c r="D737" s="15">
        <v>0.2</v>
      </c>
      <c r="E737" s="15">
        <v>25.0</v>
      </c>
      <c r="F737" s="15">
        <v>1.0</v>
      </c>
      <c r="G737" s="15">
        <v>2020.0</v>
      </c>
    </row>
    <row r="738" ht="15.75" customHeight="1">
      <c r="A738" s="15" t="s">
        <v>1085</v>
      </c>
      <c r="B738" s="15">
        <v>1.0</v>
      </c>
      <c r="C738" s="15">
        <v>1.0</v>
      </c>
      <c r="D738" s="15">
        <v>1.0</v>
      </c>
      <c r="E738" s="15">
        <v>1.0</v>
      </c>
      <c r="F738" s="15">
        <v>1.0</v>
      </c>
      <c r="G738" s="15">
        <v>2024.0</v>
      </c>
    </row>
    <row r="739" ht="15.75" customHeight="1">
      <c r="A739" s="15" t="s">
        <v>1086</v>
      </c>
      <c r="B739" s="15">
        <v>1.0</v>
      </c>
      <c r="C739" s="15">
        <v>1.0</v>
      </c>
      <c r="D739" s="15">
        <v>0.166666666666667</v>
      </c>
      <c r="E739" s="15">
        <v>11.0</v>
      </c>
      <c r="F739" s="15">
        <v>1.0</v>
      </c>
      <c r="G739" s="15">
        <v>2019.0</v>
      </c>
    </row>
    <row r="740" ht="15.75" customHeight="1">
      <c r="A740" s="15" t="s">
        <v>1087</v>
      </c>
      <c r="B740" s="15">
        <v>1.0</v>
      </c>
      <c r="C740" s="15">
        <v>1.0</v>
      </c>
      <c r="D740" s="15">
        <v>0.25</v>
      </c>
      <c r="E740" s="15">
        <v>19.0</v>
      </c>
      <c r="F740" s="15">
        <v>1.0</v>
      </c>
      <c r="G740" s="15">
        <v>2021.0</v>
      </c>
    </row>
    <row r="741" ht="15.75" customHeight="1">
      <c r="A741" s="15" t="s">
        <v>1088</v>
      </c>
      <c r="B741" s="15">
        <v>1.0</v>
      </c>
      <c r="C741" s="15">
        <v>1.0</v>
      </c>
      <c r="D741" s="15">
        <v>0.333333333333333</v>
      </c>
      <c r="E741" s="15">
        <v>10.0</v>
      </c>
      <c r="F741" s="15">
        <v>1.0</v>
      </c>
      <c r="G741" s="15">
        <v>2022.0</v>
      </c>
    </row>
    <row r="742" ht="15.75" customHeight="1">
      <c r="A742" s="15" t="s">
        <v>1089</v>
      </c>
      <c r="B742" s="15">
        <v>1.0</v>
      </c>
      <c r="C742" s="15">
        <v>1.0</v>
      </c>
      <c r="D742" s="15">
        <v>0.2</v>
      </c>
      <c r="E742" s="15">
        <v>5.0</v>
      </c>
      <c r="F742" s="15">
        <v>1.0</v>
      </c>
      <c r="G742" s="15">
        <v>2020.0</v>
      </c>
    </row>
    <row r="743" ht="15.75" customHeight="1">
      <c r="A743" s="15" t="s">
        <v>1090</v>
      </c>
      <c r="B743" s="15">
        <v>1.0</v>
      </c>
      <c r="C743" s="15">
        <v>1.0</v>
      </c>
      <c r="D743" s="15">
        <v>0.111111111111111</v>
      </c>
      <c r="E743" s="15">
        <v>28.0</v>
      </c>
      <c r="F743" s="15">
        <v>1.0</v>
      </c>
      <c r="G743" s="15">
        <v>2016.0</v>
      </c>
    </row>
    <row r="744" ht="15.75" customHeight="1">
      <c r="A744" s="15" t="s">
        <v>1091</v>
      </c>
      <c r="B744" s="15">
        <v>1.0</v>
      </c>
      <c r="C744" s="15">
        <v>1.0</v>
      </c>
      <c r="D744" s="15">
        <v>0.5</v>
      </c>
      <c r="E744" s="15">
        <v>1.0</v>
      </c>
      <c r="F744" s="15">
        <v>1.0</v>
      </c>
      <c r="G744" s="15">
        <v>2023.0</v>
      </c>
    </row>
    <row r="745" ht="15.75" customHeight="1">
      <c r="A745" s="15" t="s">
        <v>1092</v>
      </c>
      <c r="B745" s="15">
        <v>1.0</v>
      </c>
      <c r="C745" s="15">
        <v>1.0</v>
      </c>
      <c r="D745" s="15">
        <v>0.333333333333333</v>
      </c>
      <c r="E745" s="15">
        <v>2.0</v>
      </c>
      <c r="F745" s="15">
        <v>1.0</v>
      </c>
      <c r="G745" s="15">
        <v>2022.0</v>
      </c>
    </row>
    <row r="746" ht="15.75" customHeight="1">
      <c r="A746" s="15" t="s">
        <v>1093</v>
      </c>
      <c r="B746" s="15">
        <v>1.0</v>
      </c>
      <c r="C746" s="15">
        <v>1.0</v>
      </c>
      <c r="D746" s="15">
        <v>0.25</v>
      </c>
      <c r="E746" s="15">
        <v>23.0</v>
      </c>
      <c r="F746" s="15">
        <v>1.0</v>
      </c>
      <c r="G746" s="15">
        <v>2021.0</v>
      </c>
    </row>
    <row r="747" ht="15.75" customHeight="1">
      <c r="A747" s="15" t="s">
        <v>1094</v>
      </c>
      <c r="B747" s="15">
        <v>1.0</v>
      </c>
      <c r="C747" s="15">
        <v>1.0</v>
      </c>
      <c r="D747" s="15">
        <v>0.333333333333333</v>
      </c>
      <c r="E747" s="15">
        <v>7.0</v>
      </c>
      <c r="F747" s="15">
        <v>1.0</v>
      </c>
      <c r="G747" s="15">
        <v>2022.0</v>
      </c>
    </row>
    <row r="748" ht="15.75" customHeight="1">
      <c r="A748" s="15" t="s">
        <v>1095</v>
      </c>
      <c r="B748" s="15">
        <v>1.0</v>
      </c>
      <c r="C748" s="15">
        <v>1.0</v>
      </c>
      <c r="D748" s="15">
        <v>0.333333333333333</v>
      </c>
      <c r="E748" s="15">
        <v>7.0</v>
      </c>
      <c r="F748" s="15">
        <v>1.0</v>
      </c>
      <c r="G748" s="15">
        <v>2022.0</v>
      </c>
    </row>
    <row r="749" ht="15.75" customHeight="1">
      <c r="A749" s="15" t="s">
        <v>1096</v>
      </c>
      <c r="B749" s="15">
        <v>1.0</v>
      </c>
      <c r="C749" s="15">
        <v>1.0</v>
      </c>
      <c r="D749" s="15">
        <v>0.25</v>
      </c>
      <c r="E749" s="15">
        <v>4.0</v>
      </c>
      <c r="F749" s="15">
        <v>1.0</v>
      </c>
      <c r="G749" s="15">
        <v>2021.0</v>
      </c>
    </row>
    <row r="750" ht="15.75" customHeight="1">
      <c r="A750" s="15" t="s">
        <v>1097</v>
      </c>
      <c r="B750" s="15">
        <v>1.0</v>
      </c>
      <c r="C750" s="15">
        <v>1.0</v>
      </c>
      <c r="D750" s="15">
        <v>0.0769230769230769</v>
      </c>
      <c r="E750" s="15">
        <v>1.0</v>
      </c>
      <c r="F750" s="15">
        <v>1.0</v>
      </c>
      <c r="G750" s="15">
        <v>2012.0</v>
      </c>
    </row>
    <row r="751" ht="15.75" customHeight="1">
      <c r="A751" s="15" t="s">
        <v>1098</v>
      </c>
      <c r="B751" s="15">
        <v>1.0</v>
      </c>
      <c r="C751" s="15">
        <v>1.0</v>
      </c>
      <c r="D751" s="15">
        <v>0.5</v>
      </c>
      <c r="E751" s="15">
        <v>5.0</v>
      </c>
      <c r="F751" s="15">
        <v>1.0</v>
      </c>
      <c r="G751" s="15">
        <v>2023.0</v>
      </c>
    </row>
    <row r="752" ht="15.75" customHeight="1">
      <c r="A752" s="15" t="s">
        <v>1099</v>
      </c>
      <c r="B752" s="15">
        <v>1.0</v>
      </c>
      <c r="C752" s="15">
        <v>1.0</v>
      </c>
      <c r="D752" s="15">
        <v>0.5</v>
      </c>
      <c r="E752" s="15">
        <v>5.0</v>
      </c>
      <c r="F752" s="15">
        <v>1.0</v>
      </c>
      <c r="G752" s="15">
        <v>2023.0</v>
      </c>
    </row>
    <row r="753" ht="15.75" customHeight="1">
      <c r="A753" s="15" t="s">
        <v>1100</v>
      </c>
      <c r="B753" s="15">
        <v>1.0</v>
      </c>
      <c r="C753" s="15">
        <v>1.0</v>
      </c>
      <c r="D753" s="15">
        <v>0.333333333333333</v>
      </c>
      <c r="E753" s="15">
        <v>3.0</v>
      </c>
      <c r="F753" s="15">
        <v>1.0</v>
      </c>
      <c r="G753" s="15">
        <v>2022.0</v>
      </c>
    </row>
    <row r="754" ht="15.75" customHeight="1">
      <c r="A754" s="15" t="s">
        <v>1101</v>
      </c>
      <c r="B754" s="15">
        <v>1.0</v>
      </c>
      <c r="C754" s="15">
        <v>1.0</v>
      </c>
      <c r="D754" s="15">
        <v>0.5</v>
      </c>
      <c r="E754" s="15">
        <v>1.0</v>
      </c>
      <c r="F754" s="15">
        <v>1.0</v>
      </c>
      <c r="G754" s="15">
        <v>2023.0</v>
      </c>
    </row>
    <row r="755" ht="15.75" customHeight="1">
      <c r="A755" s="15" t="s">
        <v>1102</v>
      </c>
      <c r="B755" s="15">
        <v>1.0</v>
      </c>
      <c r="C755" s="15">
        <v>1.0</v>
      </c>
      <c r="D755" s="15">
        <v>0.5</v>
      </c>
      <c r="E755" s="15">
        <v>1.0</v>
      </c>
      <c r="F755" s="15">
        <v>1.0</v>
      </c>
      <c r="G755" s="15">
        <v>2023.0</v>
      </c>
    </row>
    <row r="756" ht="15.75" customHeight="1">
      <c r="A756" s="15" t="s">
        <v>1103</v>
      </c>
      <c r="B756" s="15">
        <v>1.0</v>
      </c>
      <c r="C756" s="15">
        <v>1.0</v>
      </c>
      <c r="D756" s="15">
        <v>0.142857142857143</v>
      </c>
      <c r="E756" s="15">
        <v>9.0</v>
      </c>
      <c r="F756" s="15">
        <v>1.0</v>
      </c>
      <c r="G756" s="15">
        <v>2018.0</v>
      </c>
    </row>
    <row r="757" ht="15.75" customHeight="1">
      <c r="A757" s="15" t="s">
        <v>1104</v>
      </c>
      <c r="B757" s="15">
        <v>1.0</v>
      </c>
      <c r="C757" s="15">
        <v>1.0</v>
      </c>
      <c r="D757" s="15">
        <v>0.25</v>
      </c>
      <c r="E757" s="15">
        <v>5.0</v>
      </c>
      <c r="F757" s="15">
        <v>1.0</v>
      </c>
      <c r="G757" s="15">
        <v>2021.0</v>
      </c>
    </row>
    <row r="758" ht="15.75" customHeight="1">
      <c r="A758" s="15" t="s">
        <v>1105</v>
      </c>
      <c r="B758" s="15">
        <v>1.0</v>
      </c>
      <c r="C758" s="15">
        <v>1.0</v>
      </c>
      <c r="D758" s="15">
        <v>0.142857142857143</v>
      </c>
      <c r="E758" s="15">
        <v>25.0</v>
      </c>
      <c r="F758" s="15">
        <v>1.0</v>
      </c>
      <c r="G758" s="15">
        <v>2018.0</v>
      </c>
    </row>
    <row r="759" ht="15.75" customHeight="1">
      <c r="A759" s="15" t="s">
        <v>1106</v>
      </c>
      <c r="B759" s="15">
        <v>1.0</v>
      </c>
      <c r="C759" s="15">
        <v>1.0</v>
      </c>
      <c r="D759" s="15">
        <v>0.5</v>
      </c>
      <c r="E759" s="15">
        <v>1.0</v>
      </c>
      <c r="F759" s="15">
        <v>1.0</v>
      </c>
      <c r="G759" s="15">
        <v>2023.0</v>
      </c>
    </row>
    <row r="760" ht="15.75" customHeight="1">
      <c r="A760" s="15" t="s">
        <v>1107</v>
      </c>
      <c r="B760" s="15">
        <v>1.0</v>
      </c>
      <c r="C760" s="15">
        <v>1.0</v>
      </c>
      <c r="D760" s="15">
        <v>0.25</v>
      </c>
      <c r="E760" s="15">
        <v>1.0</v>
      </c>
      <c r="F760" s="15">
        <v>1.0</v>
      </c>
      <c r="G760" s="15">
        <v>2021.0</v>
      </c>
    </row>
    <row r="761" ht="15.75" customHeight="1">
      <c r="A761" s="15" t="s">
        <v>1108</v>
      </c>
      <c r="B761" s="15">
        <v>1.0</v>
      </c>
      <c r="C761" s="15">
        <v>1.0</v>
      </c>
      <c r="D761" s="15">
        <v>0.2</v>
      </c>
      <c r="E761" s="15">
        <v>3.0</v>
      </c>
      <c r="F761" s="15">
        <v>1.0</v>
      </c>
      <c r="G761" s="15">
        <v>2020.0</v>
      </c>
    </row>
    <row r="762" ht="15.75" customHeight="1">
      <c r="A762" s="15" t="s">
        <v>1109</v>
      </c>
      <c r="B762" s="15">
        <v>1.0</v>
      </c>
      <c r="C762" s="15">
        <v>1.0</v>
      </c>
      <c r="D762" s="15">
        <v>0.333333333333333</v>
      </c>
      <c r="E762" s="15">
        <v>29.0</v>
      </c>
      <c r="F762" s="15">
        <v>1.0</v>
      </c>
      <c r="G762" s="15">
        <v>2022.0</v>
      </c>
    </row>
    <row r="763" ht="15.75" customHeight="1">
      <c r="A763" s="15" t="s">
        <v>1110</v>
      </c>
      <c r="B763" s="15">
        <v>1.0</v>
      </c>
      <c r="C763" s="15">
        <v>1.0</v>
      </c>
      <c r="D763" s="15">
        <v>0.0434782608695652</v>
      </c>
      <c r="E763" s="15">
        <v>14.0</v>
      </c>
      <c r="F763" s="15">
        <v>1.0</v>
      </c>
      <c r="G763" s="15">
        <v>2002.0</v>
      </c>
    </row>
    <row r="764" ht="15.75" customHeight="1">
      <c r="A764" s="15" t="s">
        <v>1111</v>
      </c>
      <c r="B764" s="15">
        <v>1.0</v>
      </c>
      <c r="C764" s="15">
        <v>1.0</v>
      </c>
      <c r="D764" s="15">
        <v>0.2</v>
      </c>
      <c r="E764" s="15">
        <v>19.0</v>
      </c>
      <c r="F764" s="15">
        <v>1.0</v>
      </c>
      <c r="G764" s="15">
        <v>2020.0</v>
      </c>
    </row>
    <row r="765" ht="15.75" customHeight="1">
      <c r="A765" s="15" t="s">
        <v>1112</v>
      </c>
      <c r="B765" s="15">
        <v>1.0</v>
      </c>
      <c r="C765" s="15">
        <v>1.0</v>
      </c>
      <c r="D765" s="15">
        <v>0.25</v>
      </c>
      <c r="E765" s="15">
        <v>11.0</v>
      </c>
      <c r="F765" s="15">
        <v>1.0</v>
      </c>
      <c r="G765" s="15">
        <v>2021.0</v>
      </c>
    </row>
    <row r="766" ht="15.75" customHeight="1">
      <c r="A766" s="15" t="s">
        <v>1113</v>
      </c>
      <c r="B766" s="15">
        <v>1.0</v>
      </c>
      <c r="C766" s="15">
        <v>1.0</v>
      </c>
      <c r="D766" s="15">
        <v>0.25</v>
      </c>
      <c r="E766" s="15">
        <v>23.0</v>
      </c>
      <c r="F766" s="15">
        <v>1.0</v>
      </c>
      <c r="G766" s="15">
        <v>2021.0</v>
      </c>
    </row>
    <row r="767" ht="15.75" customHeight="1">
      <c r="A767" s="15" t="s">
        <v>1114</v>
      </c>
      <c r="B767" s="15">
        <v>1.0</v>
      </c>
      <c r="C767" s="15">
        <v>1.0</v>
      </c>
      <c r="D767" s="15">
        <v>0.166666666666667</v>
      </c>
      <c r="E767" s="15">
        <v>5.0</v>
      </c>
      <c r="F767" s="15">
        <v>1.0</v>
      </c>
      <c r="G767" s="15">
        <v>2019.0</v>
      </c>
    </row>
    <row r="768" ht="15.75" customHeight="1">
      <c r="A768" s="15" t="s">
        <v>1115</v>
      </c>
      <c r="B768" s="15">
        <v>1.0</v>
      </c>
      <c r="C768" s="15">
        <v>1.0</v>
      </c>
      <c r="D768" s="15">
        <v>0.0833333333333333</v>
      </c>
      <c r="E768" s="15">
        <v>5.0</v>
      </c>
      <c r="F768" s="15">
        <v>1.0</v>
      </c>
      <c r="G768" s="15">
        <v>2013.0</v>
      </c>
    </row>
    <row r="769" ht="15.75" customHeight="1">
      <c r="A769" s="15" t="s">
        <v>1116</v>
      </c>
      <c r="B769" s="15">
        <v>1.0</v>
      </c>
      <c r="C769" s="15">
        <v>1.0</v>
      </c>
      <c r="D769" s="15">
        <v>0.25</v>
      </c>
      <c r="E769" s="15">
        <v>4.0</v>
      </c>
      <c r="F769" s="15">
        <v>1.0</v>
      </c>
      <c r="G769" s="15">
        <v>2021.0</v>
      </c>
    </row>
    <row r="770" ht="15.75" customHeight="1">
      <c r="A770" s="15" t="s">
        <v>1117</v>
      </c>
      <c r="B770" s="15">
        <v>1.0</v>
      </c>
      <c r="C770" s="15">
        <v>1.0</v>
      </c>
      <c r="D770" s="15">
        <v>0.25</v>
      </c>
      <c r="E770" s="15">
        <v>21.0</v>
      </c>
      <c r="F770" s="15">
        <v>1.0</v>
      </c>
      <c r="G770" s="15">
        <v>2021.0</v>
      </c>
    </row>
    <row r="771" ht="15.75" customHeight="1">
      <c r="A771" s="15" t="s">
        <v>1118</v>
      </c>
      <c r="B771" s="15">
        <v>1.0</v>
      </c>
      <c r="C771" s="15">
        <v>1.0</v>
      </c>
      <c r="D771" s="15">
        <v>0.25</v>
      </c>
      <c r="E771" s="15">
        <v>11.0</v>
      </c>
      <c r="F771" s="15">
        <v>1.0</v>
      </c>
      <c r="G771" s="15">
        <v>2021.0</v>
      </c>
    </row>
    <row r="772" ht="15.75" customHeight="1">
      <c r="A772" s="15" t="s">
        <v>1119</v>
      </c>
      <c r="B772" s="15">
        <v>1.0</v>
      </c>
      <c r="C772" s="15">
        <v>1.0</v>
      </c>
      <c r="D772" s="15">
        <v>0.25</v>
      </c>
      <c r="E772" s="15">
        <v>33.0</v>
      </c>
      <c r="F772" s="15">
        <v>1.0</v>
      </c>
      <c r="G772" s="15">
        <v>2021.0</v>
      </c>
    </row>
    <row r="773" ht="15.75" customHeight="1">
      <c r="A773" s="15" t="s">
        <v>1120</v>
      </c>
      <c r="B773" s="15">
        <v>1.0</v>
      </c>
      <c r="C773" s="15">
        <v>1.0</v>
      </c>
      <c r="D773" s="15">
        <v>0.333333333333333</v>
      </c>
      <c r="E773" s="15">
        <v>3.0</v>
      </c>
      <c r="F773" s="15">
        <v>1.0</v>
      </c>
      <c r="G773" s="15">
        <v>2022.0</v>
      </c>
    </row>
    <row r="774" ht="15.75" customHeight="1">
      <c r="A774" s="15" t="s">
        <v>1121</v>
      </c>
      <c r="B774" s="15">
        <v>1.0</v>
      </c>
      <c r="C774" s="15">
        <v>1.0</v>
      </c>
      <c r="D774" s="15">
        <v>0.333333333333333</v>
      </c>
      <c r="E774" s="15">
        <v>2.0</v>
      </c>
      <c r="F774" s="15">
        <v>1.0</v>
      </c>
      <c r="G774" s="15">
        <v>2022.0</v>
      </c>
    </row>
    <row r="775" ht="15.75" customHeight="1">
      <c r="A775" s="15" t="s">
        <v>1122</v>
      </c>
      <c r="B775" s="15">
        <v>1.0</v>
      </c>
      <c r="C775" s="15">
        <v>1.0</v>
      </c>
      <c r="D775" s="15">
        <v>0.5</v>
      </c>
      <c r="E775" s="15">
        <v>1.0</v>
      </c>
      <c r="F775" s="15">
        <v>1.0</v>
      </c>
      <c r="G775" s="15">
        <v>2023.0</v>
      </c>
    </row>
    <row r="776" ht="15.75" customHeight="1">
      <c r="A776" s="15" t="s">
        <v>1123</v>
      </c>
      <c r="B776" s="15">
        <v>1.0</v>
      </c>
      <c r="C776" s="15">
        <v>1.0</v>
      </c>
      <c r="D776" s="15">
        <v>0.5</v>
      </c>
      <c r="E776" s="15">
        <v>13.0</v>
      </c>
      <c r="F776" s="15">
        <v>1.0</v>
      </c>
      <c r="G776" s="15">
        <v>2023.0</v>
      </c>
    </row>
    <row r="777" ht="15.75" customHeight="1">
      <c r="A777" s="15" t="s">
        <v>1124</v>
      </c>
      <c r="B777" s="15">
        <v>1.0</v>
      </c>
      <c r="C777" s="15">
        <v>1.0</v>
      </c>
      <c r="D777" s="15">
        <v>0.142857142857143</v>
      </c>
      <c r="E777" s="15">
        <v>25.0</v>
      </c>
      <c r="F777" s="15">
        <v>1.0</v>
      </c>
      <c r="G777" s="15">
        <v>2018.0</v>
      </c>
    </row>
    <row r="778" ht="15.75" customHeight="1">
      <c r="A778" s="15" t="s">
        <v>1125</v>
      </c>
      <c r="B778" s="15">
        <v>1.0</v>
      </c>
      <c r="C778" s="15">
        <v>1.0</v>
      </c>
      <c r="D778" s="15">
        <v>1.0</v>
      </c>
      <c r="E778" s="15">
        <v>6.0</v>
      </c>
      <c r="F778" s="15">
        <v>1.0</v>
      </c>
      <c r="G778" s="15">
        <v>2024.0</v>
      </c>
    </row>
    <row r="779" ht="15.75" customHeight="1">
      <c r="A779" s="15" t="s">
        <v>1126</v>
      </c>
      <c r="B779" s="15">
        <v>1.0</v>
      </c>
      <c r="C779" s="15">
        <v>1.0</v>
      </c>
      <c r="D779" s="15">
        <v>0.25</v>
      </c>
      <c r="E779" s="15">
        <v>11.0</v>
      </c>
      <c r="F779" s="15">
        <v>1.0</v>
      </c>
      <c r="G779" s="15">
        <v>2021.0</v>
      </c>
    </row>
    <row r="780" ht="15.75" customHeight="1">
      <c r="A780" s="15" t="s">
        <v>1127</v>
      </c>
      <c r="B780" s="15">
        <v>1.0</v>
      </c>
      <c r="C780" s="15">
        <v>1.0</v>
      </c>
      <c r="D780" s="15">
        <v>0.2</v>
      </c>
      <c r="E780" s="15">
        <v>2.0</v>
      </c>
      <c r="F780" s="15">
        <v>1.0</v>
      </c>
      <c r="G780" s="15">
        <v>2020.0</v>
      </c>
    </row>
    <row r="781" ht="15.75" customHeight="1">
      <c r="A781" s="15" t="s">
        <v>1128</v>
      </c>
      <c r="B781" s="15">
        <v>1.0</v>
      </c>
      <c r="C781" s="15">
        <v>1.0</v>
      </c>
      <c r="D781" s="15">
        <v>0.5</v>
      </c>
      <c r="E781" s="15">
        <v>1.0</v>
      </c>
      <c r="F781" s="15">
        <v>1.0</v>
      </c>
      <c r="G781" s="15">
        <v>2023.0</v>
      </c>
    </row>
    <row r="782" ht="15.75" customHeight="1">
      <c r="A782" s="15" t="s">
        <v>1129</v>
      </c>
      <c r="B782" s="15">
        <v>1.0</v>
      </c>
      <c r="C782" s="15">
        <v>1.0</v>
      </c>
      <c r="D782" s="15">
        <v>1.0</v>
      </c>
      <c r="E782" s="15">
        <v>3.0</v>
      </c>
      <c r="F782" s="15">
        <v>1.0</v>
      </c>
      <c r="G782" s="15">
        <v>2024.0</v>
      </c>
    </row>
    <row r="783" ht="15.75" customHeight="1">
      <c r="A783" s="15" t="s">
        <v>1130</v>
      </c>
      <c r="B783" s="15">
        <v>1.0</v>
      </c>
      <c r="C783" s="15">
        <v>1.0</v>
      </c>
      <c r="D783" s="15">
        <v>0.5</v>
      </c>
      <c r="E783" s="15">
        <v>13.0</v>
      </c>
      <c r="F783" s="15">
        <v>1.0</v>
      </c>
      <c r="G783" s="15">
        <v>2023.0</v>
      </c>
    </row>
    <row r="784" ht="15.75" customHeight="1">
      <c r="A784" s="15" t="s">
        <v>1131</v>
      </c>
      <c r="B784" s="15">
        <v>1.0</v>
      </c>
      <c r="C784" s="15">
        <v>1.0</v>
      </c>
      <c r="D784" s="15">
        <v>0.25</v>
      </c>
      <c r="E784" s="15">
        <v>11.0</v>
      </c>
      <c r="F784" s="15">
        <v>1.0</v>
      </c>
      <c r="G784" s="15">
        <v>2021.0</v>
      </c>
    </row>
    <row r="785" ht="15.75" customHeight="1">
      <c r="A785" s="15" t="s">
        <v>1132</v>
      </c>
      <c r="B785" s="15">
        <v>1.0</v>
      </c>
      <c r="C785" s="15">
        <v>1.0</v>
      </c>
      <c r="D785" s="15">
        <v>0.5</v>
      </c>
      <c r="E785" s="15">
        <v>3.0</v>
      </c>
      <c r="F785" s="15">
        <v>1.0</v>
      </c>
      <c r="G785" s="15">
        <v>2023.0</v>
      </c>
    </row>
    <row r="786" ht="15.75" customHeight="1">
      <c r="A786" s="15" t="s">
        <v>1133</v>
      </c>
      <c r="B786" s="15">
        <v>1.0</v>
      </c>
      <c r="C786" s="15">
        <v>1.0</v>
      </c>
      <c r="D786" s="15">
        <v>0.166666666666667</v>
      </c>
      <c r="E786" s="15">
        <v>3.0</v>
      </c>
      <c r="F786" s="15">
        <v>1.0</v>
      </c>
      <c r="G786" s="15">
        <v>2019.0</v>
      </c>
    </row>
    <row r="787" ht="15.75" customHeight="1">
      <c r="A787" s="15" t="s">
        <v>1134</v>
      </c>
      <c r="B787" s="15">
        <v>1.0</v>
      </c>
      <c r="C787" s="15">
        <v>1.0</v>
      </c>
      <c r="D787" s="15">
        <v>0.5</v>
      </c>
      <c r="E787" s="15">
        <v>3.0</v>
      </c>
      <c r="F787" s="15">
        <v>1.0</v>
      </c>
      <c r="G787" s="15">
        <v>2023.0</v>
      </c>
    </row>
    <row r="788" ht="15.75" customHeight="1">
      <c r="A788" s="15" t="s">
        <v>1135</v>
      </c>
      <c r="B788" s="15">
        <v>1.0</v>
      </c>
      <c r="C788" s="15">
        <v>1.0</v>
      </c>
      <c r="D788" s="15">
        <v>0.25</v>
      </c>
      <c r="E788" s="15">
        <v>12.0</v>
      </c>
      <c r="F788" s="15">
        <v>1.0</v>
      </c>
      <c r="G788" s="15">
        <v>2021.0</v>
      </c>
    </row>
    <row r="789" ht="15.75" customHeight="1">
      <c r="A789" s="15" t="s">
        <v>1136</v>
      </c>
      <c r="B789" s="15">
        <v>1.0</v>
      </c>
      <c r="C789" s="15">
        <v>1.0</v>
      </c>
      <c r="D789" s="15">
        <v>0.25</v>
      </c>
      <c r="E789" s="15">
        <v>58.0</v>
      </c>
      <c r="F789" s="15">
        <v>1.0</v>
      </c>
      <c r="G789" s="15">
        <v>2021.0</v>
      </c>
    </row>
    <row r="790" ht="15.75" customHeight="1">
      <c r="A790" s="15" t="s">
        <v>1137</v>
      </c>
      <c r="B790" s="15">
        <v>1.0</v>
      </c>
      <c r="C790" s="15">
        <v>1.0</v>
      </c>
      <c r="D790" s="15">
        <v>0.5</v>
      </c>
      <c r="E790" s="15">
        <v>2.0</v>
      </c>
      <c r="F790" s="15">
        <v>1.0</v>
      </c>
      <c r="G790" s="15">
        <v>2023.0</v>
      </c>
    </row>
    <row r="791" ht="15.75" customHeight="1">
      <c r="A791" s="15" t="s">
        <v>1138</v>
      </c>
      <c r="B791" s="15">
        <v>1.0</v>
      </c>
      <c r="C791" s="15">
        <v>1.0</v>
      </c>
      <c r="D791" s="15">
        <v>0.5</v>
      </c>
      <c r="E791" s="15">
        <v>1.0</v>
      </c>
      <c r="F791" s="15">
        <v>1.0</v>
      </c>
      <c r="G791" s="15">
        <v>2023.0</v>
      </c>
    </row>
    <row r="792" ht="15.75" customHeight="1">
      <c r="A792" s="15" t="s">
        <v>1139</v>
      </c>
      <c r="B792" s="15">
        <v>1.0</v>
      </c>
      <c r="C792" s="15">
        <v>1.0</v>
      </c>
      <c r="D792" s="15">
        <v>0.5</v>
      </c>
      <c r="E792" s="15">
        <v>5.0</v>
      </c>
      <c r="F792" s="15">
        <v>1.0</v>
      </c>
      <c r="G792" s="15">
        <v>2023.0</v>
      </c>
    </row>
    <row r="793" ht="15.75" customHeight="1">
      <c r="A793" s="15" t="s">
        <v>1140</v>
      </c>
      <c r="B793" s="15">
        <v>1.0</v>
      </c>
      <c r="C793" s="15">
        <v>1.0</v>
      </c>
      <c r="D793" s="15">
        <v>0.5</v>
      </c>
      <c r="E793" s="15">
        <v>2.0</v>
      </c>
      <c r="F793" s="15">
        <v>1.0</v>
      </c>
      <c r="G793" s="15">
        <v>2023.0</v>
      </c>
    </row>
    <row r="794" ht="15.75" customHeight="1">
      <c r="A794" s="15" t="s">
        <v>1141</v>
      </c>
      <c r="B794" s="15">
        <v>1.0</v>
      </c>
      <c r="C794" s="15">
        <v>1.0</v>
      </c>
      <c r="D794" s="15">
        <v>0.333333333333333</v>
      </c>
      <c r="E794" s="15">
        <v>10.0</v>
      </c>
      <c r="F794" s="15">
        <v>1.0</v>
      </c>
      <c r="G794" s="15">
        <v>2022.0</v>
      </c>
    </row>
    <row r="795" ht="15.75" customHeight="1">
      <c r="A795" s="15" t="s">
        <v>1142</v>
      </c>
      <c r="B795" s="15">
        <v>1.0</v>
      </c>
      <c r="C795" s="15">
        <v>1.0</v>
      </c>
      <c r="D795" s="15">
        <v>0.25</v>
      </c>
      <c r="E795" s="15">
        <v>9.0</v>
      </c>
      <c r="F795" s="15">
        <v>1.0</v>
      </c>
      <c r="G795" s="15">
        <v>2021.0</v>
      </c>
    </row>
    <row r="796" ht="15.75" customHeight="1">
      <c r="A796" s="15" t="s">
        <v>1143</v>
      </c>
      <c r="B796" s="15">
        <v>1.0</v>
      </c>
      <c r="C796" s="15">
        <v>1.0</v>
      </c>
      <c r="D796" s="15">
        <v>0.2</v>
      </c>
      <c r="E796" s="15">
        <v>15.0</v>
      </c>
      <c r="F796" s="15">
        <v>1.0</v>
      </c>
      <c r="G796" s="15">
        <v>2020.0</v>
      </c>
    </row>
    <row r="797" ht="15.75" customHeight="1">
      <c r="A797" s="15" t="s">
        <v>1144</v>
      </c>
      <c r="B797" s="15">
        <v>1.0</v>
      </c>
      <c r="C797" s="15">
        <v>1.0</v>
      </c>
      <c r="D797" s="15">
        <v>1.0</v>
      </c>
      <c r="E797" s="15">
        <v>1.0</v>
      </c>
      <c r="F797" s="15">
        <v>1.0</v>
      </c>
      <c r="G797" s="15">
        <v>2024.0</v>
      </c>
    </row>
    <row r="798" ht="15.75" customHeight="1">
      <c r="A798" s="15" t="s">
        <v>1145</v>
      </c>
      <c r="B798" s="15">
        <v>1.0</v>
      </c>
      <c r="C798" s="15">
        <v>1.0</v>
      </c>
      <c r="D798" s="15">
        <v>0.5</v>
      </c>
      <c r="E798" s="15">
        <v>1.0</v>
      </c>
      <c r="F798" s="15">
        <v>1.0</v>
      </c>
      <c r="G798" s="15">
        <v>2023.0</v>
      </c>
    </row>
    <row r="799" ht="15.75" customHeight="1">
      <c r="A799" s="15" t="s">
        <v>1146</v>
      </c>
      <c r="B799" s="15">
        <v>1.0</v>
      </c>
      <c r="C799" s="15">
        <v>1.0</v>
      </c>
      <c r="D799" s="15">
        <v>0.333333333333333</v>
      </c>
      <c r="E799" s="15">
        <v>1.0</v>
      </c>
      <c r="F799" s="15">
        <v>1.0</v>
      </c>
      <c r="G799" s="15">
        <v>2022.0</v>
      </c>
    </row>
    <row r="800" ht="15.75" customHeight="1">
      <c r="A800" s="15" t="s">
        <v>1147</v>
      </c>
      <c r="B800" s="15">
        <v>1.0</v>
      </c>
      <c r="C800" s="15">
        <v>1.0</v>
      </c>
      <c r="D800" s="15">
        <v>0.25</v>
      </c>
      <c r="E800" s="15">
        <v>23.0</v>
      </c>
      <c r="F800" s="15">
        <v>1.0</v>
      </c>
      <c r="G800" s="15">
        <v>2021.0</v>
      </c>
    </row>
    <row r="801" ht="15.75" customHeight="1">
      <c r="A801" s="15" t="s">
        <v>1148</v>
      </c>
      <c r="B801" s="15">
        <v>1.0</v>
      </c>
      <c r="C801" s="15">
        <v>1.0</v>
      </c>
      <c r="D801" s="15">
        <v>0.25</v>
      </c>
      <c r="E801" s="15">
        <v>9.0</v>
      </c>
      <c r="F801" s="15">
        <v>1.0</v>
      </c>
      <c r="G801" s="15">
        <v>2021.0</v>
      </c>
    </row>
    <row r="802" ht="15.75" customHeight="1">
      <c r="A802" s="15" t="s">
        <v>1149</v>
      </c>
      <c r="B802" s="15">
        <v>1.0</v>
      </c>
      <c r="C802" s="15">
        <v>1.0</v>
      </c>
      <c r="D802" s="15">
        <v>0.25</v>
      </c>
      <c r="E802" s="15">
        <v>1.0</v>
      </c>
      <c r="F802" s="15">
        <v>1.0</v>
      </c>
      <c r="G802" s="15">
        <v>2021.0</v>
      </c>
    </row>
    <row r="803" ht="15.75" customHeight="1">
      <c r="A803" s="15" t="s">
        <v>1150</v>
      </c>
      <c r="B803" s="15">
        <v>1.0</v>
      </c>
      <c r="C803" s="15">
        <v>1.0</v>
      </c>
      <c r="D803" s="15">
        <v>0.5</v>
      </c>
      <c r="E803" s="15">
        <v>2.0</v>
      </c>
      <c r="F803" s="15">
        <v>1.0</v>
      </c>
      <c r="G803" s="15">
        <v>2023.0</v>
      </c>
    </row>
    <row r="804" ht="15.75" customHeight="1">
      <c r="A804" s="15" t="s">
        <v>1151</v>
      </c>
      <c r="B804" s="15">
        <v>1.0</v>
      </c>
      <c r="C804" s="15">
        <v>1.0</v>
      </c>
      <c r="D804" s="15">
        <v>0.333333333333333</v>
      </c>
      <c r="E804" s="15">
        <v>3.0</v>
      </c>
      <c r="F804" s="15">
        <v>1.0</v>
      </c>
      <c r="G804" s="15">
        <v>2022.0</v>
      </c>
    </row>
    <row r="805" ht="15.75" customHeight="1">
      <c r="A805" s="15" t="s">
        <v>1152</v>
      </c>
      <c r="B805" s="15">
        <v>1.0</v>
      </c>
      <c r="C805" s="15">
        <v>1.0</v>
      </c>
      <c r="D805" s="15">
        <v>0.0434782608695652</v>
      </c>
      <c r="E805" s="15">
        <v>14.0</v>
      </c>
      <c r="F805" s="15">
        <v>1.0</v>
      </c>
      <c r="G805" s="15">
        <v>2002.0</v>
      </c>
    </row>
    <row r="806" ht="15.75" customHeight="1">
      <c r="A806" s="15" t="s">
        <v>1153</v>
      </c>
      <c r="B806" s="15">
        <v>1.0</v>
      </c>
      <c r="C806" s="15">
        <v>1.0</v>
      </c>
      <c r="D806" s="15">
        <v>0.333333333333333</v>
      </c>
      <c r="E806" s="15">
        <v>6.0</v>
      </c>
      <c r="F806" s="15">
        <v>1.0</v>
      </c>
      <c r="G806" s="15">
        <v>2022.0</v>
      </c>
    </row>
    <row r="807" ht="15.75" customHeight="1">
      <c r="A807" s="15" t="s">
        <v>1154</v>
      </c>
      <c r="B807" s="15">
        <v>1.0</v>
      </c>
      <c r="C807" s="15">
        <v>1.0</v>
      </c>
      <c r="D807" s="15">
        <v>0.125</v>
      </c>
      <c r="E807" s="15">
        <v>29.0</v>
      </c>
      <c r="F807" s="15">
        <v>1.0</v>
      </c>
      <c r="G807" s="15">
        <v>2017.0</v>
      </c>
    </row>
    <row r="808" ht="15.75" customHeight="1">
      <c r="A808" s="15" t="s">
        <v>1155</v>
      </c>
      <c r="B808" s="15">
        <v>1.0</v>
      </c>
      <c r="C808" s="15">
        <v>1.0</v>
      </c>
      <c r="D808" s="15">
        <v>0.25</v>
      </c>
      <c r="E808" s="15">
        <v>43.0</v>
      </c>
      <c r="F808" s="15">
        <v>1.0</v>
      </c>
      <c r="G808" s="15">
        <v>2021.0</v>
      </c>
    </row>
    <row r="809" ht="15.75" customHeight="1">
      <c r="A809" s="15" t="s">
        <v>1156</v>
      </c>
      <c r="B809" s="15">
        <v>1.0</v>
      </c>
      <c r="C809" s="15">
        <v>1.0</v>
      </c>
      <c r="D809" s="15">
        <v>0.142857142857143</v>
      </c>
      <c r="E809" s="15">
        <v>59.0</v>
      </c>
      <c r="F809" s="15">
        <v>1.0</v>
      </c>
      <c r="G809" s="15">
        <v>2018.0</v>
      </c>
    </row>
    <row r="810" ht="15.75" customHeight="1">
      <c r="A810" s="15" t="s">
        <v>1157</v>
      </c>
      <c r="B810" s="15">
        <v>1.0</v>
      </c>
      <c r="C810" s="15">
        <v>1.0</v>
      </c>
      <c r="D810" s="15">
        <v>0.0526315789473684</v>
      </c>
      <c r="E810" s="15">
        <v>10.0</v>
      </c>
      <c r="F810" s="15">
        <v>1.0</v>
      </c>
      <c r="G810" s="15">
        <v>2006.0</v>
      </c>
    </row>
    <row r="811" ht="15.75" customHeight="1">
      <c r="A811" s="15" t="s">
        <v>1158</v>
      </c>
      <c r="B811" s="15">
        <v>1.0</v>
      </c>
      <c r="C811" s="15">
        <v>1.0</v>
      </c>
      <c r="D811" s="15">
        <v>0.333333333333333</v>
      </c>
      <c r="E811" s="15">
        <v>7.0</v>
      </c>
      <c r="F811" s="15">
        <v>1.0</v>
      </c>
      <c r="G811" s="15">
        <v>2022.0</v>
      </c>
    </row>
    <row r="812" ht="15.75" customHeight="1">
      <c r="A812" s="15" t="s">
        <v>1159</v>
      </c>
      <c r="B812" s="15">
        <v>1.0</v>
      </c>
      <c r="C812" s="15">
        <v>1.0</v>
      </c>
      <c r="D812" s="15">
        <v>0.125</v>
      </c>
      <c r="E812" s="15">
        <v>37.0</v>
      </c>
      <c r="F812" s="15">
        <v>1.0</v>
      </c>
      <c r="G812" s="15">
        <v>2017.0</v>
      </c>
    </row>
    <row r="813" ht="15.75" customHeight="1">
      <c r="A813" s="15" t="s">
        <v>1160</v>
      </c>
      <c r="B813" s="15">
        <v>1.0</v>
      </c>
      <c r="C813" s="15">
        <v>1.0</v>
      </c>
      <c r="D813" s="15">
        <v>0.0909090909090909</v>
      </c>
      <c r="E813" s="15">
        <v>6.0</v>
      </c>
      <c r="F813" s="15">
        <v>1.0</v>
      </c>
      <c r="G813" s="15">
        <v>2014.0</v>
      </c>
    </row>
    <row r="814" ht="15.75" customHeight="1">
      <c r="A814" s="15" t="s">
        <v>1161</v>
      </c>
      <c r="B814" s="15">
        <v>1.0</v>
      </c>
      <c r="C814" s="15">
        <v>1.0</v>
      </c>
      <c r="D814" s="15">
        <v>0.2</v>
      </c>
      <c r="E814" s="15">
        <v>29.0</v>
      </c>
      <c r="F814" s="15">
        <v>1.0</v>
      </c>
      <c r="G814" s="15">
        <v>2020.0</v>
      </c>
    </row>
    <row r="815" ht="15.75" customHeight="1">
      <c r="A815" s="15" t="s">
        <v>1162</v>
      </c>
      <c r="B815" s="15">
        <v>1.0</v>
      </c>
      <c r="C815" s="15">
        <v>1.0</v>
      </c>
      <c r="D815" s="15">
        <v>0.0909090909090909</v>
      </c>
      <c r="E815" s="15">
        <v>17.0</v>
      </c>
      <c r="F815" s="15">
        <v>1.0</v>
      </c>
      <c r="G815" s="15">
        <v>2014.0</v>
      </c>
    </row>
    <row r="816" ht="15.75" customHeight="1">
      <c r="A816" s="15" t="s">
        <v>1163</v>
      </c>
      <c r="B816" s="15">
        <v>1.0</v>
      </c>
      <c r="C816" s="15">
        <v>1.0</v>
      </c>
      <c r="D816" s="15">
        <v>0.333333333333333</v>
      </c>
      <c r="E816" s="15">
        <v>1.0</v>
      </c>
      <c r="F816" s="15">
        <v>1.0</v>
      </c>
      <c r="G816" s="15">
        <v>2022.0</v>
      </c>
    </row>
    <row r="817" ht="15.75" customHeight="1">
      <c r="A817" s="15" t="s">
        <v>1164</v>
      </c>
      <c r="B817" s="15">
        <v>1.0</v>
      </c>
      <c r="C817" s="15">
        <v>1.0</v>
      </c>
      <c r="D817" s="15">
        <v>0.142857142857143</v>
      </c>
      <c r="E817" s="15">
        <v>13.0</v>
      </c>
      <c r="F817" s="15">
        <v>1.0</v>
      </c>
      <c r="G817" s="15">
        <v>2018.0</v>
      </c>
    </row>
    <row r="818" ht="15.75" customHeight="1">
      <c r="A818" s="15" t="s">
        <v>1165</v>
      </c>
      <c r="B818" s="15">
        <v>1.0</v>
      </c>
      <c r="C818" s="15">
        <v>1.0</v>
      </c>
      <c r="D818" s="15">
        <v>0.25</v>
      </c>
      <c r="E818" s="15">
        <v>1.0</v>
      </c>
      <c r="F818" s="15">
        <v>1.0</v>
      </c>
      <c r="G818" s="15">
        <v>2021.0</v>
      </c>
    </row>
    <row r="819" ht="15.75" customHeight="1">
      <c r="A819" s="15" t="s">
        <v>1166</v>
      </c>
      <c r="B819" s="15">
        <v>1.0</v>
      </c>
      <c r="C819" s="15">
        <v>1.0</v>
      </c>
      <c r="D819" s="15">
        <v>0.333333333333333</v>
      </c>
      <c r="E819" s="15">
        <v>56.0</v>
      </c>
      <c r="F819" s="15">
        <v>1.0</v>
      </c>
      <c r="G819" s="15">
        <v>2022.0</v>
      </c>
    </row>
    <row r="820" ht="15.75" customHeight="1">
      <c r="A820" s="15" t="s">
        <v>1167</v>
      </c>
      <c r="B820" s="15">
        <v>1.0</v>
      </c>
      <c r="C820" s="15">
        <v>1.0</v>
      </c>
      <c r="D820" s="15">
        <v>0.166666666666667</v>
      </c>
      <c r="E820" s="15">
        <v>7.0</v>
      </c>
      <c r="F820" s="15">
        <v>1.0</v>
      </c>
      <c r="G820" s="15">
        <v>2019.0</v>
      </c>
    </row>
    <row r="821" ht="15.75" customHeight="1">
      <c r="A821" s="15" t="s">
        <v>1168</v>
      </c>
      <c r="B821" s="15">
        <v>1.0</v>
      </c>
      <c r="C821" s="15">
        <v>1.0</v>
      </c>
      <c r="D821" s="15">
        <v>0.5</v>
      </c>
      <c r="E821" s="15">
        <v>11.0</v>
      </c>
      <c r="F821" s="15">
        <v>1.0</v>
      </c>
      <c r="G821" s="15">
        <v>2023.0</v>
      </c>
    </row>
    <row r="822" ht="15.75" customHeight="1">
      <c r="A822" s="15" t="s">
        <v>1169</v>
      </c>
      <c r="B822" s="15">
        <v>1.0</v>
      </c>
      <c r="C822" s="15">
        <v>1.0</v>
      </c>
      <c r="D822" s="15">
        <v>0.111111111111111</v>
      </c>
      <c r="E822" s="15">
        <v>4.0</v>
      </c>
      <c r="F822" s="15">
        <v>1.0</v>
      </c>
      <c r="G822" s="15">
        <v>2016.0</v>
      </c>
    </row>
    <row r="823" ht="15.75" customHeight="1">
      <c r="A823" s="15" t="s">
        <v>1170</v>
      </c>
      <c r="B823" s="15">
        <v>1.0</v>
      </c>
      <c r="C823" s="15">
        <v>1.0</v>
      </c>
      <c r="D823" s="15">
        <v>0.2</v>
      </c>
      <c r="E823" s="15">
        <v>50.0</v>
      </c>
      <c r="F823" s="15">
        <v>1.0</v>
      </c>
      <c r="G823" s="15">
        <v>2020.0</v>
      </c>
    </row>
    <row r="824" ht="15.75" customHeight="1">
      <c r="A824" s="15" t="s">
        <v>1171</v>
      </c>
      <c r="B824" s="15">
        <v>1.0</v>
      </c>
      <c r="C824" s="15">
        <v>1.0</v>
      </c>
      <c r="D824" s="15">
        <v>0.333333333333333</v>
      </c>
      <c r="E824" s="15">
        <v>2.0</v>
      </c>
      <c r="F824" s="15">
        <v>1.0</v>
      </c>
      <c r="G824" s="15">
        <v>2022.0</v>
      </c>
    </row>
    <row r="825" ht="15.75" customHeight="1">
      <c r="A825" s="15" t="s">
        <v>1172</v>
      </c>
      <c r="B825" s="15">
        <v>1.0</v>
      </c>
      <c r="C825" s="15">
        <v>1.0</v>
      </c>
      <c r="D825" s="15">
        <v>0.333333333333333</v>
      </c>
      <c r="E825" s="15">
        <v>9.0</v>
      </c>
      <c r="F825" s="15">
        <v>1.0</v>
      </c>
      <c r="G825" s="15">
        <v>2022.0</v>
      </c>
    </row>
    <row r="826" ht="15.75" customHeight="1">
      <c r="A826" s="15" t="s">
        <v>1173</v>
      </c>
      <c r="B826" s="15">
        <v>1.0</v>
      </c>
      <c r="C826" s="15">
        <v>1.0</v>
      </c>
      <c r="D826" s="15">
        <v>0.1</v>
      </c>
      <c r="E826" s="15">
        <v>209.0</v>
      </c>
      <c r="F826" s="15">
        <v>1.0</v>
      </c>
      <c r="G826" s="15">
        <v>2015.0</v>
      </c>
    </row>
    <row r="827" ht="15.75" customHeight="1">
      <c r="A827" s="15" t="s">
        <v>1174</v>
      </c>
      <c r="B827" s="15">
        <v>1.0</v>
      </c>
      <c r="C827" s="15">
        <v>1.0</v>
      </c>
      <c r="D827" s="15">
        <v>0.5</v>
      </c>
      <c r="E827" s="15">
        <v>2.0</v>
      </c>
      <c r="F827" s="15">
        <v>1.0</v>
      </c>
      <c r="G827" s="15">
        <v>2023.0</v>
      </c>
    </row>
    <row r="828" ht="15.75" customHeight="1">
      <c r="A828" s="15" t="s">
        <v>1175</v>
      </c>
      <c r="B828" s="15">
        <v>1.0</v>
      </c>
      <c r="C828" s="15">
        <v>1.0</v>
      </c>
      <c r="D828" s="15">
        <v>0.2</v>
      </c>
      <c r="E828" s="15">
        <v>1.0</v>
      </c>
      <c r="F828" s="15">
        <v>1.0</v>
      </c>
      <c r="G828" s="15">
        <v>2020.0</v>
      </c>
    </row>
    <row r="829" ht="15.75" customHeight="1">
      <c r="A829" s="15" t="s">
        <v>1176</v>
      </c>
      <c r="B829" s="15">
        <v>1.0</v>
      </c>
      <c r="C829" s="15">
        <v>1.0</v>
      </c>
      <c r="D829" s="15">
        <v>0.333333333333333</v>
      </c>
      <c r="E829" s="15">
        <v>3.0</v>
      </c>
      <c r="F829" s="15">
        <v>1.0</v>
      </c>
      <c r="G829" s="15">
        <v>2022.0</v>
      </c>
    </row>
    <row r="830" ht="15.75" customHeight="1">
      <c r="A830" s="15" t="s">
        <v>1177</v>
      </c>
      <c r="B830" s="15">
        <v>1.0</v>
      </c>
      <c r="C830" s="15">
        <v>1.0</v>
      </c>
      <c r="D830" s="15">
        <v>0.25</v>
      </c>
      <c r="E830" s="15">
        <v>2.0</v>
      </c>
      <c r="F830" s="15">
        <v>1.0</v>
      </c>
      <c r="G830" s="15">
        <v>2021.0</v>
      </c>
    </row>
    <row r="831" ht="15.75" customHeight="1">
      <c r="A831" s="15" t="s">
        <v>1178</v>
      </c>
      <c r="B831" s="15">
        <v>1.0</v>
      </c>
      <c r="C831" s="15">
        <v>1.0</v>
      </c>
      <c r="D831" s="15">
        <v>0.5</v>
      </c>
      <c r="E831" s="15">
        <v>2.0</v>
      </c>
      <c r="F831" s="15">
        <v>1.0</v>
      </c>
      <c r="G831" s="15">
        <v>2023.0</v>
      </c>
    </row>
    <row r="832" ht="15.75" customHeight="1">
      <c r="A832" s="15" t="s">
        <v>1179</v>
      </c>
      <c r="B832" s="15">
        <v>1.0</v>
      </c>
      <c r="C832" s="15">
        <v>1.0</v>
      </c>
      <c r="D832" s="15">
        <v>0.166666666666667</v>
      </c>
      <c r="E832" s="15">
        <v>1.0</v>
      </c>
      <c r="F832" s="15">
        <v>1.0</v>
      </c>
      <c r="G832" s="15">
        <v>2019.0</v>
      </c>
    </row>
    <row r="833" ht="15.75" customHeight="1">
      <c r="A833" s="15" t="s">
        <v>1180</v>
      </c>
      <c r="B833" s="15">
        <v>1.0</v>
      </c>
      <c r="C833" s="15">
        <v>1.0</v>
      </c>
      <c r="D833" s="15">
        <v>0.25</v>
      </c>
      <c r="E833" s="15">
        <v>23.0</v>
      </c>
      <c r="F833" s="15">
        <v>1.0</v>
      </c>
      <c r="G833" s="15">
        <v>2021.0</v>
      </c>
    </row>
    <row r="834" ht="15.75" customHeight="1">
      <c r="A834" s="15" t="s">
        <v>1181</v>
      </c>
      <c r="B834" s="15">
        <v>1.0</v>
      </c>
      <c r="C834" s="15">
        <v>1.0</v>
      </c>
      <c r="D834" s="15">
        <v>0.0555555555555556</v>
      </c>
      <c r="E834" s="15">
        <v>14.0</v>
      </c>
      <c r="F834" s="15">
        <v>1.0</v>
      </c>
      <c r="G834" s="15">
        <v>2007.0</v>
      </c>
    </row>
    <row r="835" ht="15.75" customHeight="1">
      <c r="A835" s="15" t="s">
        <v>1182</v>
      </c>
      <c r="B835" s="15">
        <v>1.0</v>
      </c>
      <c r="C835" s="15">
        <v>1.0</v>
      </c>
      <c r="D835" s="15">
        <v>0.2</v>
      </c>
      <c r="E835" s="15">
        <v>21.0</v>
      </c>
      <c r="F835" s="15">
        <v>1.0</v>
      </c>
      <c r="G835" s="15">
        <v>2020.0</v>
      </c>
    </row>
    <row r="836" ht="15.75" customHeight="1">
      <c r="A836" s="15" t="s">
        <v>1183</v>
      </c>
      <c r="B836" s="15">
        <v>1.0</v>
      </c>
      <c r="C836" s="15">
        <v>1.0</v>
      </c>
      <c r="D836" s="15">
        <v>0.2</v>
      </c>
      <c r="E836" s="15">
        <v>9.0</v>
      </c>
      <c r="F836" s="15">
        <v>1.0</v>
      </c>
      <c r="G836" s="15">
        <v>2020.0</v>
      </c>
    </row>
    <row r="837" ht="15.75" customHeight="1">
      <c r="A837" s="15" t="s">
        <v>1184</v>
      </c>
      <c r="B837" s="15">
        <v>1.0</v>
      </c>
      <c r="C837" s="15">
        <v>1.0</v>
      </c>
      <c r="D837" s="15">
        <v>0.0769230769230769</v>
      </c>
      <c r="E837" s="15">
        <v>8.0</v>
      </c>
      <c r="F837" s="15">
        <v>1.0</v>
      </c>
      <c r="G837" s="15">
        <v>2012.0</v>
      </c>
    </row>
    <row r="838" ht="15.75" customHeight="1">
      <c r="A838" s="15" t="s">
        <v>1185</v>
      </c>
      <c r="B838" s="15">
        <v>1.0</v>
      </c>
      <c r="C838" s="15">
        <v>1.0</v>
      </c>
      <c r="D838" s="15">
        <v>0.2</v>
      </c>
      <c r="E838" s="15">
        <v>23.0</v>
      </c>
      <c r="F838" s="15">
        <v>1.0</v>
      </c>
      <c r="G838" s="15">
        <v>2020.0</v>
      </c>
    </row>
    <row r="839" ht="15.75" customHeight="1">
      <c r="A839" s="15" t="s">
        <v>1186</v>
      </c>
      <c r="B839" s="15">
        <v>1.0</v>
      </c>
      <c r="C839" s="15">
        <v>1.0</v>
      </c>
      <c r="D839" s="15">
        <v>0.166666666666667</v>
      </c>
      <c r="E839" s="15">
        <v>4.0</v>
      </c>
      <c r="F839" s="15">
        <v>1.0</v>
      </c>
      <c r="G839" s="15">
        <v>2019.0</v>
      </c>
    </row>
    <row r="840" ht="15.75" customHeight="1">
      <c r="A840" s="15" t="s">
        <v>1187</v>
      </c>
      <c r="B840" s="15">
        <v>1.0</v>
      </c>
      <c r="C840" s="15">
        <v>1.0</v>
      </c>
      <c r="D840" s="15">
        <v>0.333333333333333</v>
      </c>
      <c r="E840" s="15">
        <v>7.0</v>
      </c>
      <c r="F840" s="15">
        <v>1.0</v>
      </c>
      <c r="G840" s="15">
        <v>2022.0</v>
      </c>
    </row>
    <row r="841" ht="15.75" customHeight="1">
      <c r="A841" s="15" t="s">
        <v>1188</v>
      </c>
      <c r="B841" s="15">
        <v>1.0</v>
      </c>
      <c r="C841" s="15">
        <v>1.0</v>
      </c>
      <c r="D841" s="15">
        <v>0.2</v>
      </c>
      <c r="E841" s="15">
        <v>12.0</v>
      </c>
      <c r="F841" s="15">
        <v>1.0</v>
      </c>
      <c r="G841" s="15">
        <v>2020.0</v>
      </c>
    </row>
    <row r="842" ht="15.75" customHeight="1">
      <c r="A842" s="15" t="s">
        <v>1189</v>
      </c>
      <c r="B842" s="15">
        <v>1.0</v>
      </c>
      <c r="C842" s="15">
        <v>1.0</v>
      </c>
      <c r="D842" s="15">
        <v>0.2</v>
      </c>
      <c r="E842" s="15">
        <v>6.0</v>
      </c>
      <c r="F842" s="15">
        <v>1.0</v>
      </c>
      <c r="G842" s="15">
        <v>2020.0</v>
      </c>
    </row>
    <row r="843" ht="15.75" customHeight="1">
      <c r="A843" s="15" t="s">
        <v>1190</v>
      </c>
      <c r="B843" s="15">
        <v>1.0</v>
      </c>
      <c r="C843" s="15">
        <v>1.0</v>
      </c>
      <c r="D843" s="15">
        <v>0.125</v>
      </c>
      <c r="E843" s="15">
        <v>37.0</v>
      </c>
      <c r="F843" s="15">
        <v>1.0</v>
      </c>
      <c r="G843" s="15">
        <v>2017.0</v>
      </c>
    </row>
    <row r="844" ht="15.75" customHeight="1">
      <c r="A844" s="15" t="s">
        <v>1191</v>
      </c>
      <c r="B844" s="15">
        <v>1.0</v>
      </c>
      <c r="C844" s="15">
        <v>1.0</v>
      </c>
      <c r="D844" s="15">
        <v>0.2</v>
      </c>
      <c r="E844" s="15">
        <v>11.0</v>
      </c>
      <c r="F844" s="15">
        <v>1.0</v>
      </c>
      <c r="G844" s="15">
        <v>2020.0</v>
      </c>
    </row>
    <row r="845" ht="15.75" customHeight="1">
      <c r="A845" s="15" t="s">
        <v>1192</v>
      </c>
      <c r="B845" s="15">
        <v>1.0</v>
      </c>
      <c r="C845" s="15">
        <v>1.0</v>
      </c>
      <c r="D845" s="15">
        <v>0.0625</v>
      </c>
      <c r="E845" s="15">
        <v>3.0</v>
      </c>
      <c r="F845" s="15">
        <v>1.0</v>
      </c>
      <c r="G845" s="15">
        <v>2009.0</v>
      </c>
    </row>
    <row r="846" ht="15.75" customHeight="1">
      <c r="A846" s="15" t="s">
        <v>1193</v>
      </c>
      <c r="B846" s="15">
        <v>1.0</v>
      </c>
      <c r="C846" s="15">
        <v>1.0</v>
      </c>
      <c r="D846" s="15">
        <v>1.0</v>
      </c>
      <c r="E846" s="15">
        <v>1.0</v>
      </c>
      <c r="F846" s="15">
        <v>1.0</v>
      </c>
      <c r="G846" s="15">
        <v>2024.0</v>
      </c>
    </row>
    <row r="847" ht="15.75" customHeight="1">
      <c r="A847" s="15" t="s">
        <v>1194</v>
      </c>
      <c r="B847" s="15">
        <v>1.0</v>
      </c>
      <c r="C847" s="15">
        <v>1.0</v>
      </c>
      <c r="D847" s="15">
        <v>0.25</v>
      </c>
      <c r="E847" s="15">
        <v>12.0</v>
      </c>
      <c r="F847" s="15">
        <v>1.0</v>
      </c>
      <c r="G847" s="15">
        <v>2021.0</v>
      </c>
    </row>
    <row r="848" ht="15.75" customHeight="1">
      <c r="A848" s="15" t="s">
        <v>1195</v>
      </c>
      <c r="B848" s="15">
        <v>1.0</v>
      </c>
      <c r="C848" s="15">
        <v>1.0</v>
      </c>
      <c r="D848" s="15">
        <v>0.0769230769230769</v>
      </c>
      <c r="E848" s="15">
        <v>1.0</v>
      </c>
      <c r="F848" s="15">
        <v>1.0</v>
      </c>
      <c r="G848" s="15">
        <v>2012.0</v>
      </c>
    </row>
    <row r="849" ht="15.75" customHeight="1">
      <c r="A849" s="15" t="s">
        <v>1196</v>
      </c>
      <c r="B849" s="15">
        <v>1.0</v>
      </c>
      <c r="C849" s="15">
        <v>1.0</v>
      </c>
      <c r="D849" s="15">
        <v>0.1</v>
      </c>
      <c r="E849" s="15">
        <v>10.0</v>
      </c>
      <c r="F849" s="15">
        <v>1.0</v>
      </c>
      <c r="G849" s="15">
        <v>2015.0</v>
      </c>
    </row>
    <row r="850" ht="15.75" customHeight="1">
      <c r="A850" s="15" t="s">
        <v>1197</v>
      </c>
      <c r="B850" s="15">
        <v>1.0</v>
      </c>
      <c r="C850" s="15">
        <v>1.0</v>
      </c>
      <c r="D850" s="15">
        <v>0.1</v>
      </c>
      <c r="E850" s="15">
        <v>10.0</v>
      </c>
      <c r="F850" s="15">
        <v>1.0</v>
      </c>
      <c r="G850" s="15">
        <v>2015.0</v>
      </c>
    </row>
    <row r="851" ht="15.75" customHeight="1">
      <c r="A851" s="15" t="s">
        <v>1198</v>
      </c>
      <c r="B851" s="15">
        <v>1.0</v>
      </c>
      <c r="C851" s="15">
        <v>1.0</v>
      </c>
      <c r="D851" s="15">
        <v>0.0769230769230769</v>
      </c>
      <c r="E851" s="15">
        <v>2.0</v>
      </c>
      <c r="F851" s="15">
        <v>1.0</v>
      </c>
      <c r="G851" s="15">
        <v>2012.0</v>
      </c>
    </row>
    <row r="852" ht="15.75" customHeight="1">
      <c r="A852" s="15" t="s">
        <v>1199</v>
      </c>
      <c r="B852" s="15">
        <v>1.0</v>
      </c>
      <c r="C852" s="15">
        <v>1.0</v>
      </c>
      <c r="D852" s="15">
        <v>0.25</v>
      </c>
      <c r="E852" s="15">
        <v>1.0</v>
      </c>
      <c r="F852" s="15">
        <v>1.0</v>
      </c>
      <c r="G852" s="15">
        <v>2021.0</v>
      </c>
    </row>
    <row r="853" ht="15.75" customHeight="1">
      <c r="A853" s="15" t="s">
        <v>1200</v>
      </c>
      <c r="B853" s="15">
        <v>1.0</v>
      </c>
      <c r="C853" s="15">
        <v>1.0</v>
      </c>
      <c r="D853" s="15">
        <v>0.0909090909090909</v>
      </c>
      <c r="E853" s="15">
        <v>2.0</v>
      </c>
      <c r="F853" s="15">
        <v>1.0</v>
      </c>
      <c r="G853" s="15">
        <v>2014.0</v>
      </c>
    </row>
    <row r="854" ht="15.75" customHeight="1">
      <c r="A854" s="15" t="s">
        <v>1201</v>
      </c>
      <c r="B854" s="15">
        <v>1.0</v>
      </c>
      <c r="C854" s="15">
        <v>1.0</v>
      </c>
      <c r="D854" s="15">
        <v>0.2</v>
      </c>
      <c r="E854" s="15">
        <v>14.0</v>
      </c>
      <c r="F854" s="15">
        <v>1.0</v>
      </c>
      <c r="G854" s="15">
        <v>2020.0</v>
      </c>
    </row>
    <row r="855" ht="15.75" customHeight="1">
      <c r="A855" s="15" t="s">
        <v>1202</v>
      </c>
      <c r="B855" s="15">
        <v>1.0</v>
      </c>
      <c r="C855" s="15">
        <v>1.0</v>
      </c>
      <c r="D855" s="15">
        <v>0.125</v>
      </c>
      <c r="E855" s="15">
        <v>7.0</v>
      </c>
      <c r="F855" s="15">
        <v>1.0</v>
      </c>
      <c r="G855" s="15">
        <v>2017.0</v>
      </c>
    </row>
    <row r="856" ht="15.75" customHeight="1">
      <c r="A856" s="15" t="s">
        <v>1203</v>
      </c>
      <c r="B856" s="15">
        <v>1.0</v>
      </c>
      <c r="C856" s="15">
        <v>1.0</v>
      </c>
      <c r="D856" s="15">
        <v>0.5</v>
      </c>
      <c r="E856" s="15">
        <v>5.0</v>
      </c>
      <c r="F856" s="15">
        <v>1.0</v>
      </c>
      <c r="G856" s="15">
        <v>2023.0</v>
      </c>
    </row>
    <row r="857" ht="15.75" customHeight="1">
      <c r="A857" s="15" t="s">
        <v>1204</v>
      </c>
      <c r="B857" s="15">
        <v>1.0</v>
      </c>
      <c r="C857" s="15">
        <v>1.0</v>
      </c>
      <c r="D857" s="15">
        <v>0.142857142857143</v>
      </c>
      <c r="E857" s="15">
        <v>1.0</v>
      </c>
      <c r="F857" s="15">
        <v>1.0</v>
      </c>
      <c r="G857" s="15">
        <v>2018.0</v>
      </c>
    </row>
    <row r="858" ht="15.75" customHeight="1">
      <c r="A858" s="15" t="s">
        <v>1205</v>
      </c>
      <c r="B858" s="15">
        <v>1.0</v>
      </c>
      <c r="C858" s="15">
        <v>1.0</v>
      </c>
      <c r="D858" s="15">
        <v>0.166666666666667</v>
      </c>
      <c r="E858" s="15">
        <v>15.0</v>
      </c>
      <c r="F858" s="15">
        <v>1.0</v>
      </c>
      <c r="G858" s="15">
        <v>2019.0</v>
      </c>
    </row>
    <row r="859" ht="15.75" customHeight="1">
      <c r="A859" s="15" t="s">
        <v>1206</v>
      </c>
      <c r="B859" s="15">
        <v>1.0</v>
      </c>
      <c r="C859" s="15">
        <v>1.0</v>
      </c>
      <c r="D859" s="15">
        <v>0.5</v>
      </c>
      <c r="E859" s="15">
        <v>2.0</v>
      </c>
      <c r="F859" s="15">
        <v>1.0</v>
      </c>
      <c r="G859" s="15">
        <v>2023.0</v>
      </c>
    </row>
    <row r="860" ht="15.75" customHeight="1">
      <c r="A860" s="15" t="s">
        <v>1207</v>
      </c>
      <c r="B860" s="15">
        <v>1.0</v>
      </c>
      <c r="C860" s="15">
        <v>1.0</v>
      </c>
      <c r="D860" s="15">
        <v>0.2</v>
      </c>
      <c r="E860" s="15">
        <v>3.0</v>
      </c>
      <c r="F860" s="15">
        <v>1.0</v>
      </c>
      <c r="G860" s="15">
        <v>2020.0</v>
      </c>
    </row>
    <row r="861" ht="15.75" customHeight="1">
      <c r="A861" s="15" t="s">
        <v>1208</v>
      </c>
      <c r="B861" s="15">
        <v>1.0</v>
      </c>
      <c r="C861" s="15">
        <v>1.0</v>
      </c>
      <c r="D861" s="15">
        <v>0.2</v>
      </c>
      <c r="E861" s="15">
        <v>19.0</v>
      </c>
      <c r="F861" s="15">
        <v>1.0</v>
      </c>
      <c r="G861" s="15">
        <v>2020.0</v>
      </c>
    </row>
    <row r="862" ht="15.75" customHeight="1">
      <c r="A862" s="15" t="s">
        <v>1209</v>
      </c>
      <c r="B862" s="15">
        <v>1.0</v>
      </c>
      <c r="C862" s="15">
        <v>1.0</v>
      </c>
      <c r="D862" s="15">
        <v>0.2</v>
      </c>
      <c r="E862" s="15">
        <v>1.0</v>
      </c>
      <c r="F862" s="15">
        <v>1.0</v>
      </c>
      <c r="G862" s="15">
        <v>2020.0</v>
      </c>
    </row>
    <row r="863" ht="15.75" customHeight="1">
      <c r="A863" s="15" t="s">
        <v>1210</v>
      </c>
      <c r="B863" s="15">
        <v>1.0</v>
      </c>
      <c r="C863" s="15">
        <v>1.0</v>
      </c>
      <c r="D863" s="15">
        <v>0.166666666666667</v>
      </c>
      <c r="E863" s="15">
        <v>9.0</v>
      </c>
      <c r="F863" s="15">
        <v>1.0</v>
      </c>
      <c r="G863" s="15">
        <v>2019.0</v>
      </c>
    </row>
    <row r="864" ht="15.75" customHeight="1">
      <c r="A864" s="15" t="s">
        <v>1211</v>
      </c>
      <c r="B864" s="15">
        <v>1.0</v>
      </c>
      <c r="C864" s="15">
        <v>1.0</v>
      </c>
      <c r="D864" s="15">
        <v>0.166666666666667</v>
      </c>
      <c r="E864" s="15">
        <v>1.0</v>
      </c>
      <c r="F864" s="15">
        <v>1.0</v>
      </c>
      <c r="G864" s="15">
        <v>2019.0</v>
      </c>
    </row>
    <row r="865" ht="15.75" customHeight="1">
      <c r="A865" s="15" t="s">
        <v>1212</v>
      </c>
      <c r="B865" s="15">
        <v>1.0</v>
      </c>
      <c r="C865" s="15">
        <v>1.0</v>
      </c>
      <c r="D865" s="15">
        <v>0.25</v>
      </c>
      <c r="E865" s="15">
        <v>1.0</v>
      </c>
      <c r="F865" s="15">
        <v>1.0</v>
      </c>
      <c r="G865" s="15">
        <v>2021.0</v>
      </c>
    </row>
    <row r="866" ht="15.75" customHeight="1">
      <c r="A866" s="15" t="s">
        <v>1213</v>
      </c>
      <c r="B866" s="15">
        <v>1.0</v>
      </c>
      <c r="C866" s="15">
        <v>1.0</v>
      </c>
      <c r="D866" s="15">
        <v>0.25</v>
      </c>
      <c r="E866" s="15">
        <v>33.0</v>
      </c>
      <c r="F866" s="15">
        <v>1.0</v>
      </c>
      <c r="G866" s="15">
        <v>2021.0</v>
      </c>
    </row>
    <row r="867" ht="15.75" customHeight="1">
      <c r="A867" s="15" t="s">
        <v>1214</v>
      </c>
      <c r="B867" s="15">
        <v>1.0</v>
      </c>
      <c r="C867" s="15">
        <v>1.0</v>
      </c>
      <c r="D867" s="15">
        <v>0.25</v>
      </c>
      <c r="E867" s="15">
        <v>2.0</v>
      </c>
      <c r="F867" s="15">
        <v>1.0</v>
      </c>
      <c r="G867" s="15">
        <v>2021.0</v>
      </c>
    </row>
    <row r="868" ht="15.75" customHeight="1">
      <c r="A868" s="15" t="s">
        <v>1215</v>
      </c>
      <c r="B868" s="15">
        <v>1.0</v>
      </c>
      <c r="C868" s="15">
        <v>1.0</v>
      </c>
      <c r="D868" s="15">
        <v>0.5</v>
      </c>
      <c r="E868" s="15">
        <v>1.0</v>
      </c>
      <c r="F868" s="15">
        <v>1.0</v>
      </c>
      <c r="G868" s="15">
        <v>2023.0</v>
      </c>
    </row>
    <row r="869" ht="15.75" customHeight="1">
      <c r="A869" s="15" t="s">
        <v>1216</v>
      </c>
      <c r="B869" s="15">
        <v>1.0</v>
      </c>
      <c r="C869" s="15">
        <v>1.0</v>
      </c>
      <c r="D869" s="15">
        <v>0.333333333333333</v>
      </c>
      <c r="E869" s="15">
        <v>10.0</v>
      </c>
      <c r="F869" s="15">
        <v>1.0</v>
      </c>
      <c r="G869" s="15">
        <v>2022.0</v>
      </c>
    </row>
    <row r="870" ht="15.75" customHeight="1">
      <c r="A870" s="15" t="s">
        <v>1217</v>
      </c>
      <c r="B870" s="15">
        <v>1.0</v>
      </c>
      <c r="C870" s="15">
        <v>1.0</v>
      </c>
      <c r="D870" s="15">
        <v>0.2</v>
      </c>
      <c r="E870" s="15">
        <v>4.0</v>
      </c>
      <c r="F870" s="15">
        <v>1.0</v>
      </c>
      <c r="G870" s="15">
        <v>2020.0</v>
      </c>
    </row>
    <row r="871" ht="15.75" customHeight="1">
      <c r="A871" s="15" t="s">
        <v>1218</v>
      </c>
      <c r="B871" s="15">
        <v>1.0</v>
      </c>
      <c r="C871" s="15">
        <v>1.0</v>
      </c>
      <c r="D871" s="15">
        <v>0.166666666666667</v>
      </c>
      <c r="E871" s="15">
        <v>5.0</v>
      </c>
      <c r="F871" s="15">
        <v>1.0</v>
      </c>
      <c r="G871" s="15">
        <v>2019.0</v>
      </c>
    </row>
    <row r="872" ht="15.75" customHeight="1">
      <c r="A872" s="15" t="s">
        <v>1219</v>
      </c>
      <c r="B872" s="15">
        <v>1.0</v>
      </c>
      <c r="C872" s="15">
        <v>1.0</v>
      </c>
      <c r="D872" s="15">
        <v>0.125</v>
      </c>
      <c r="E872" s="15">
        <v>1.0</v>
      </c>
      <c r="F872" s="15">
        <v>1.0</v>
      </c>
      <c r="G872" s="15">
        <v>2017.0</v>
      </c>
    </row>
    <row r="873" ht="15.75" customHeight="1">
      <c r="A873" s="15" t="s">
        <v>1220</v>
      </c>
      <c r="B873" s="15">
        <v>1.0</v>
      </c>
      <c r="C873" s="15">
        <v>1.0</v>
      </c>
      <c r="D873" s="15">
        <v>0.25</v>
      </c>
      <c r="E873" s="15">
        <v>11.0</v>
      </c>
      <c r="F873" s="15">
        <v>1.0</v>
      </c>
      <c r="G873" s="15">
        <v>2021.0</v>
      </c>
    </row>
    <row r="874" ht="15.75" customHeight="1">
      <c r="A874" s="15" t="s">
        <v>1221</v>
      </c>
      <c r="B874" s="15">
        <v>1.0</v>
      </c>
      <c r="C874" s="15">
        <v>1.0</v>
      </c>
      <c r="D874" s="15">
        <v>0.25</v>
      </c>
      <c r="E874" s="15">
        <v>33.0</v>
      </c>
      <c r="F874" s="15">
        <v>1.0</v>
      </c>
      <c r="G874" s="15">
        <v>2021.0</v>
      </c>
    </row>
    <row r="875" ht="15.75" customHeight="1">
      <c r="A875" s="15" t="s">
        <v>1222</v>
      </c>
      <c r="B875" s="15">
        <v>1.0</v>
      </c>
      <c r="C875" s="15">
        <v>1.0</v>
      </c>
      <c r="D875" s="15">
        <v>0.125</v>
      </c>
      <c r="E875" s="15">
        <v>1.0</v>
      </c>
      <c r="F875" s="15">
        <v>1.0</v>
      </c>
      <c r="G875" s="15">
        <v>2017.0</v>
      </c>
    </row>
    <row r="876" ht="15.75" customHeight="1">
      <c r="A876" s="15" t="s">
        <v>1223</v>
      </c>
      <c r="B876" s="15">
        <v>1.0</v>
      </c>
      <c r="C876" s="15">
        <v>1.0</v>
      </c>
      <c r="D876" s="15">
        <v>1.0</v>
      </c>
      <c r="E876" s="15">
        <v>2.0</v>
      </c>
      <c r="F876" s="15">
        <v>1.0</v>
      </c>
      <c r="G876" s="15">
        <v>2024.0</v>
      </c>
    </row>
    <row r="877" ht="15.75" customHeight="1">
      <c r="A877" s="15" t="s">
        <v>1224</v>
      </c>
      <c r="B877" s="15">
        <v>1.0</v>
      </c>
      <c r="C877" s="15">
        <v>1.0</v>
      </c>
      <c r="D877" s="15">
        <v>0.5</v>
      </c>
      <c r="E877" s="15">
        <v>2.0</v>
      </c>
      <c r="F877" s="15">
        <v>1.0</v>
      </c>
      <c r="G877" s="15">
        <v>2023.0</v>
      </c>
    </row>
    <row r="878" ht="15.75" customHeight="1">
      <c r="A878" s="15" t="s">
        <v>1225</v>
      </c>
      <c r="B878" s="15">
        <v>1.0</v>
      </c>
      <c r="C878" s="15">
        <v>1.0</v>
      </c>
      <c r="D878" s="15">
        <v>0.2</v>
      </c>
      <c r="E878" s="15">
        <v>130.0</v>
      </c>
      <c r="F878" s="15">
        <v>1.0</v>
      </c>
      <c r="G878" s="15">
        <v>2020.0</v>
      </c>
    </row>
    <row r="879" ht="15.75" customHeight="1">
      <c r="A879" s="15" t="s">
        <v>1226</v>
      </c>
      <c r="B879" s="15">
        <v>1.0</v>
      </c>
      <c r="C879" s="15">
        <v>1.0</v>
      </c>
      <c r="D879" s="15">
        <v>0.333333333333333</v>
      </c>
      <c r="E879" s="15">
        <v>7.0</v>
      </c>
      <c r="F879" s="15">
        <v>1.0</v>
      </c>
      <c r="G879" s="15">
        <v>2022.0</v>
      </c>
    </row>
    <row r="880" ht="15.75" customHeight="1">
      <c r="A880" s="15" t="s">
        <v>1227</v>
      </c>
      <c r="B880" s="15">
        <v>1.0</v>
      </c>
      <c r="C880" s="15">
        <v>1.0</v>
      </c>
      <c r="D880" s="15">
        <v>0.333333333333333</v>
      </c>
      <c r="E880" s="15">
        <v>7.0</v>
      </c>
      <c r="F880" s="15">
        <v>1.0</v>
      </c>
      <c r="G880" s="15">
        <v>2022.0</v>
      </c>
    </row>
    <row r="881" ht="15.75" customHeight="1">
      <c r="A881" s="15" t="s">
        <v>1228</v>
      </c>
      <c r="B881" s="15">
        <v>1.0</v>
      </c>
      <c r="C881" s="15">
        <v>1.0</v>
      </c>
      <c r="D881" s="15">
        <v>0.142857142857143</v>
      </c>
      <c r="E881" s="15">
        <v>1.0</v>
      </c>
      <c r="F881" s="15">
        <v>1.0</v>
      </c>
      <c r="G881" s="15">
        <v>2018.0</v>
      </c>
    </row>
    <row r="882" ht="15.75" customHeight="1">
      <c r="A882" s="15" t="s">
        <v>1229</v>
      </c>
      <c r="B882" s="15">
        <v>1.0</v>
      </c>
      <c r="C882" s="15">
        <v>1.0</v>
      </c>
      <c r="D882" s="15">
        <v>0.333333333333333</v>
      </c>
      <c r="E882" s="15">
        <v>5.0</v>
      </c>
      <c r="F882" s="15">
        <v>1.0</v>
      </c>
      <c r="G882" s="15">
        <v>2022.0</v>
      </c>
    </row>
    <row r="883" ht="15.75" customHeight="1">
      <c r="A883" s="15" t="s">
        <v>1230</v>
      </c>
      <c r="B883" s="15">
        <v>1.0</v>
      </c>
      <c r="C883" s="15">
        <v>1.0</v>
      </c>
      <c r="D883" s="15">
        <v>0.333333333333333</v>
      </c>
      <c r="E883" s="15">
        <v>13.0</v>
      </c>
      <c r="F883" s="15">
        <v>1.0</v>
      </c>
      <c r="G883" s="15">
        <v>2022.0</v>
      </c>
    </row>
    <row r="884" ht="15.75" customHeight="1">
      <c r="A884" s="15" t="s">
        <v>1231</v>
      </c>
      <c r="B884" s="15">
        <v>1.0</v>
      </c>
      <c r="C884" s="15">
        <v>1.0</v>
      </c>
      <c r="D884" s="15">
        <v>1.0</v>
      </c>
      <c r="E884" s="15">
        <v>5.0</v>
      </c>
      <c r="F884" s="15">
        <v>1.0</v>
      </c>
      <c r="G884" s="15">
        <v>2024.0</v>
      </c>
    </row>
    <row r="885" ht="15.75" customHeight="1">
      <c r="A885" s="15" t="s">
        <v>1232</v>
      </c>
      <c r="B885" s="15">
        <v>1.0</v>
      </c>
      <c r="C885" s="15">
        <v>1.0</v>
      </c>
      <c r="D885" s="15">
        <v>0.5</v>
      </c>
      <c r="E885" s="15">
        <v>19.0</v>
      </c>
      <c r="F885" s="15">
        <v>1.0</v>
      </c>
      <c r="G885" s="15">
        <v>2023.0</v>
      </c>
    </row>
    <row r="886" ht="15.75" customHeight="1">
      <c r="A886" s="15" t="s">
        <v>1233</v>
      </c>
      <c r="B886" s="15">
        <v>1.0</v>
      </c>
      <c r="C886" s="15">
        <v>1.0</v>
      </c>
      <c r="D886" s="15">
        <v>1.0</v>
      </c>
      <c r="E886" s="15">
        <v>1.0</v>
      </c>
      <c r="F886" s="15">
        <v>1.0</v>
      </c>
      <c r="G886" s="15">
        <v>2024.0</v>
      </c>
    </row>
    <row r="887" ht="15.75" customHeight="1">
      <c r="A887" s="15" t="s">
        <v>1234</v>
      </c>
      <c r="B887" s="15">
        <v>1.0</v>
      </c>
      <c r="C887" s="15">
        <v>1.0</v>
      </c>
      <c r="D887" s="15">
        <v>0.25</v>
      </c>
      <c r="E887" s="15">
        <v>1.0</v>
      </c>
      <c r="F887" s="15">
        <v>1.0</v>
      </c>
      <c r="G887" s="15">
        <v>2021.0</v>
      </c>
    </row>
    <row r="888" ht="15.75" customHeight="1">
      <c r="A888" s="15" t="s">
        <v>1235</v>
      </c>
      <c r="B888" s="15">
        <v>1.0</v>
      </c>
      <c r="C888" s="15">
        <v>1.0</v>
      </c>
      <c r="D888" s="15">
        <v>0.0666666666666667</v>
      </c>
      <c r="E888" s="15">
        <v>6.0</v>
      </c>
      <c r="F888" s="15">
        <v>1.0</v>
      </c>
      <c r="G888" s="15">
        <v>2010.0</v>
      </c>
    </row>
    <row r="889" ht="15.75" customHeight="1">
      <c r="A889" s="15" t="s">
        <v>1236</v>
      </c>
      <c r="B889" s="15">
        <v>1.0</v>
      </c>
      <c r="C889" s="15">
        <v>1.0</v>
      </c>
      <c r="D889" s="15">
        <v>0.25</v>
      </c>
      <c r="E889" s="15">
        <v>3.0</v>
      </c>
      <c r="F889" s="15">
        <v>1.0</v>
      </c>
      <c r="G889" s="15">
        <v>2021.0</v>
      </c>
    </row>
    <row r="890" ht="15.75" customHeight="1">
      <c r="A890" s="15" t="s">
        <v>1237</v>
      </c>
      <c r="B890" s="15">
        <v>1.0</v>
      </c>
      <c r="C890" s="15">
        <v>1.0</v>
      </c>
      <c r="D890" s="15">
        <v>0.5</v>
      </c>
      <c r="E890" s="15">
        <v>1.0</v>
      </c>
      <c r="F890" s="15">
        <v>1.0</v>
      </c>
      <c r="G890" s="15">
        <v>2023.0</v>
      </c>
    </row>
    <row r="891" ht="15.75" customHeight="1">
      <c r="A891" s="15" t="s">
        <v>1238</v>
      </c>
      <c r="B891" s="15">
        <v>1.0</v>
      </c>
      <c r="C891" s="15">
        <v>1.0</v>
      </c>
      <c r="D891" s="15">
        <v>0.0833333333333333</v>
      </c>
      <c r="E891" s="15">
        <v>6.0</v>
      </c>
      <c r="F891" s="15">
        <v>1.0</v>
      </c>
      <c r="G891" s="15">
        <v>2013.0</v>
      </c>
    </row>
    <row r="892" ht="15.75" customHeight="1">
      <c r="A892" s="15" t="s">
        <v>1239</v>
      </c>
      <c r="B892" s="15">
        <v>1.0</v>
      </c>
      <c r="C892" s="15">
        <v>1.0</v>
      </c>
      <c r="D892" s="15">
        <v>0.333333333333333</v>
      </c>
      <c r="E892" s="15">
        <v>1.0</v>
      </c>
      <c r="F892" s="15">
        <v>1.0</v>
      </c>
      <c r="G892" s="15">
        <v>2022.0</v>
      </c>
    </row>
    <row r="893" ht="15.75" customHeight="1">
      <c r="A893" s="15" t="s">
        <v>1240</v>
      </c>
      <c r="B893" s="15">
        <v>1.0</v>
      </c>
      <c r="C893" s="15">
        <v>1.0</v>
      </c>
      <c r="D893" s="15">
        <v>0.2</v>
      </c>
      <c r="E893" s="15">
        <v>36.0</v>
      </c>
      <c r="F893" s="15">
        <v>1.0</v>
      </c>
      <c r="G893" s="15">
        <v>2020.0</v>
      </c>
    </row>
    <row r="894" ht="15.75" customHeight="1">
      <c r="A894" s="15" t="s">
        <v>1241</v>
      </c>
      <c r="B894" s="15">
        <v>1.0</v>
      </c>
      <c r="C894" s="15">
        <v>1.0</v>
      </c>
      <c r="D894" s="15">
        <v>0.5</v>
      </c>
      <c r="E894" s="15">
        <v>2.0</v>
      </c>
      <c r="F894" s="15">
        <v>1.0</v>
      </c>
      <c r="G894" s="15">
        <v>2023.0</v>
      </c>
    </row>
    <row r="895" ht="15.75" customHeight="1">
      <c r="A895" s="15" t="s">
        <v>1242</v>
      </c>
      <c r="B895" s="15">
        <v>1.0</v>
      </c>
      <c r="C895" s="15">
        <v>1.0</v>
      </c>
      <c r="D895" s="15">
        <v>0.142857142857143</v>
      </c>
      <c r="E895" s="15">
        <v>2.0</v>
      </c>
      <c r="F895" s="15">
        <v>1.0</v>
      </c>
      <c r="G895" s="15">
        <v>2018.0</v>
      </c>
    </row>
    <row r="896" ht="15.75" customHeight="1">
      <c r="A896" s="15" t="s">
        <v>1243</v>
      </c>
      <c r="B896" s="15">
        <v>1.0</v>
      </c>
      <c r="C896" s="15">
        <v>1.0</v>
      </c>
      <c r="D896" s="15">
        <v>0.5</v>
      </c>
      <c r="E896" s="15">
        <v>1.0</v>
      </c>
      <c r="F896" s="15">
        <v>1.0</v>
      </c>
      <c r="G896" s="15">
        <v>2023.0</v>
      </c>
    </row>
    <row r="897" ht="15.75" customHeight="1">
      <c r="A897" s="15" t="s">
        <v>1244</v>
      </c>
      <c r="B897" s="15">
        <v>1.0</v>
      </c>
      <c r="C897" s="15">
        <v>1.0</v>
      </c>
      <c r="D897" s="15">
        <v>1.0</v>
      </c>
      <c r="E897" s="15">
        <v>3.0</v>
      </c>
      <c r="F897" s="15">
        <v>1.0</v>
      </c>
      <c r="G897" s="15">
        <v>2024.0</v>
      </c>
    </row>
    <row r="898" ht="15.75" customHeight="1">
      <c r="A898" s="15" t="s">
        <v>1245</v>
      </c>
      <c r="B898" s="15">
        <v>1.0</v>
      </c>
      <c r="C898" s="15">
        <v>1.0</v>
      </c>
      <c r="D898" s="15">
        <v>0.333333333333333</v>
      </c>
      <c r="E898" s="15">
        <v>29.0</v>
      </c>
      <c r="F898" s="15">
        <v>1.0</v>
      </c>
      <c r="G898" s="15">
        <v>2022.0</v>
      </c>
    </row>
    <row r="899" ht="15.75" customHeight="1">
      <c r="A899" s="15" t="s">
        <v>1246</v>
      </c>
      <c r="B899" s="15">
        <v>1.0</v>
      </c>
      <c r="C899" s="15">
        <v>1.0</v>
      </c>
      <c r="D899" s="15">
        <v>0.333333333333333</v>
      </c>
      <c r="E899" s="15">
        <v>1.0</v>
      </c>
      <c r="F899" s="15">
        <v>1.0</v>
      </c>
      <c r="G899" s="15">
        <v>2022.0</v>
      </c>
    </row>
    <row r="900" ht="15.75" customHeight="1">
      <c r="A900" s="15" t="s">
        <v>1247</v>
      </c>
      <c r="B900" s="15">
        <v>1.0</v>
      </c>
      <c r="C900" s="15">
        <v>1.0</v>
      </c>
      <c r="D900" s="15">
        <v>0.166666666666667</v>
      </c>
      <c r="E900" s="15">
        <v>30.0</v>
      </c>
      <c r="F900" s="15">
        <v>1.0</v>
      </c>
      <c r="G900" s="15">
        <v>2019.0</v>
      </c>
    </row>
    <row r="901" ht="15.75" customHeight="1">
      <c r="A901" s="15" t="s">
        <v>1248</v>
      </c>
      <c r="B901" s="15">
        <v>1.0</v>
      </c>
      <c r="C901" s="15">
        <v>1.0</v>
      </c>
      <c r="D901" s="15">
        <v>0.2</v>
      </c>
      <c r="E901" s="15">
        <v>1.0</v>
      </c>
      <c r="F901" s="15">
        <v>1.0</v>
      </c>
      <c r="G901" s="15">
        <v>2020.0</v>
      </c>
    </row>
    <row r="902" ht="15.75" customHeight="1">
      <c r="A902" s="15" t="s">
        <v>1249</v>
      </c>
      <c r="B902" s="15">
        <v>1.0</v>
      </c>
      <c r="C902" s="15">
        <v>1.0</v>
      </c>
      <c r="D902" s="15">
        <v>0.5</v>
      </c>
      <c r="E902" s="15">
        <v>2.0</v>
      </c>
      <c r="F902" s="15">
        <v>1.0</v>
      </c>
      <c r="G902" s="15">
        <v>2023.0</v>
      </c>
    </row>
    <row r="903" ht="15.75" customHeight="1">
      <c r="A903" s="15" t="s">
        <v>1250</v>
      </c>
      <c r="B903" s="15">
        <v>1.0</v>
      </c>
      <c r="C903" s="15">
        <v>1.0</v>
      </c>
      <c r="D903" s="15">
        <v>0.0833333333333333</v>
      </c>
      <c r="E903" s="15">
        <v>5.0</v>
      </c>
      <c r="F903" s="15">
        <v>1.0</v>
      </c>
      <c r="G903" s="15">
        <v>2013.0</v>
      </c>
    </row>
    <row r="904" ht="15.75" customHeight="1">
      <c r="A904" s="15" t="s">
        <v>1251</v>
      </c>
      <c r="B904" s="15">
        <v>1.0</v>
      </c>
      <c r="C904" s="15">
        <v>1.0</v>
      </c>
      <c r="D904" s="15">
        <v>0.25</v>
      </c>
      <c r="E904" s="15">
        <v>11.0</v>
      </c>
      <c r="F904" s="15">
        <v>1.0</v>
      </c>
      <c r="G904" s="15">
        <v>2021.0</v>
      </c>
    </row>
    <row r="905" ht="15.75" customHeight="1">
      <c r="A905" s="15" t="s">
        <v>1252</v>
      </c>
      <c r="B905" s="15">
        <v>1.0</v>
      </c>
      <c r="C905" s="15">
        <v>1.0</v>
      </c>
      <c r="D905" s="15">
        <v>0.25</v>
      </c>
      <c r="E905" s="15">
        <v>1.0</v>
      </c>
      <c r="F905" s="15">
        <v>1.0</v>
      </c>
      <c r="G905" s="15">
        <v>2021.0</v>
      </c>
    </row>
    <row r="906" ht="15.75" customHeight="1">
      <c r="A906" s="15" t="s">
        <v>1253</v>
      </c>
      <c r="B906" s="15">
        <v>1.0</v>
      </c>
      <c r="C906" s="15">
        <v>1.0</v>
      </c>
      <c r="D906" s="15">
        <v>0.2</v>
      </c>
      <c r="E906" s="15">
        <v>97.0</v>
      </c>
      <c r="F906" s="15">
        <v>1.0</v>
      </c>
      <c r="G906" s="15">
        <v>2020.0</v>
      </c>
    </row>
    <row r="907" ht="15.75" customHeight="1">
      <c r="A907" s="15" t="s">
        <v>1254</v>
      </c>
      <c r="B907" s="15">
        <v>1.0</v>
      </c>
      <c r="C907" s="15">
        <v>1.0</v>
      </c>
      <c r="D907" s="15">
        <v>0.0909090909090909</v>
      </c>
      <c r="E907" s="15">
        <v>6.0</v>
      </c>
      <c r="F907" s="15">
        <v>1.0</v>
      </c>
      <c r="G907" s="15">
        <v>2014.0</v>
      </c>
    </row>
    <row r="908" ht="15.75" customHeight="1">
      <c r="A908" s="15" t="s">
        <v>1255</v>
      </c>
      <c r="B908" s="15">
        <v>1.0</v>
      </c>
      <c r="C908" s="15">
        <v>1.0</v>
      </c>
      <c r="D908" s="15">
        <v>0.2</v>
      </c>
      <c r="E908" s="15">
        <v>23.0</v>
      </c>
      <c r="F908" s="15">
        <v>1.0</v>
      </c>
      <c r="G908" s="15">
        <v>2020.0</v>
      </c>
    </row>
    <row r="909" ht="15.75" customHeight="1">
      <c r="A909" s="15" t="s">
        <v>1256</v>
      </c>
      <c r="B909" s="15">
        <v>1.0</v>
      </c>
      <c r="C909" s="15">
        <v>1.0</v>
      </c>
      <c r="D909" s="15">
        <v>0.333333333333333</v>
      </c>
      <c r="E909" s="15">
        <v>56.0</v>
      </c>
      <c r="F909" s="15">
        <v>1.0</v>
      </c>
      <c r="G909" s="15">
        <v>2022.0</v>
      </c>
    </row>
    <row r="910" ht="15.75" customHeight="1">
      <c r="A910" s="15" t="s">
        <v>1257</v>
      </c>
      <c r="B910" s="15">
        <v>1.0</v>
      </c>
      <c r="C910" s="15">
        <v>1.0</v>
      </c>
      <c r="D910" s="15">
        <v>0.5</v>
      </c>
      <c r="E910" s="15">
        <v>3.0</v>
      </c>
      <c r="F910" s="15">
        <v>1.0</v>
      </c>
      <c r="G910" s="15">
        <v>2023.0</v>
      </c>
    </row>
    <row r="911" ht="15.75" customHeight="1">
      <c r="A911" s="15" t="s">
        <v>1258</v>
      </c>
      <c r="B911" s="15">
        <v>1.0</v>
      </c>
      <c r="C911" s="15">
        <v>1.0</v>
      </c>
      <c r="D911" s="15">
        <v>0.25</v>
      </c>
      <c r="E911" s="15">
        <v>1.0</v>
      </c>
      <c r="F911" s="15">
        <v>1.0</v>
      </c>
      <c r="G911" s="15">
        <v>2021.0</v>
      </c>
    </row>
    <row r="912" ht="15.75" customHeight="1">
      <c r="A912" s="15" t="s">
        <v>1259</v>
      </c>
      <c r="B912" s="15">
        <v>1.0</v>
      </c>
      <c r="C912" s="15">
        <v>1.0</v>
      </c>
      <c r="D912" s="15">
        <v>0.125</v>
      </c>
      <c r="E912" s="15">
        <v>7.0</v>
      </c>
      <c r="F912" s="15">
        <v>1.0</v>
      </c>
      <c r="G912" s="15">
        <v>2017.0</v>
      </c>
    </row>
    <row r="913" ht="15.75" customHeight="1">
      <c r="A913" s="15" t="s">
        <v>1260</v>
      </c>
      <c r="B913" s="15">
        <v>1.0</v>
      </c>
      <c r="C913" s="15">
        <v>1.0</v>
      </c>
      <c r="D913" s="15">
        <v>0.5</v>
      </c>
      <c r="E913" s="15">
        <v>1.0</v>
      </c>
      <c r="F913" s="15">
        <v>1.0</v>
      </c>
      <c r="G913" s="15">
        <v>2023.0</v>
      </c>
    </row>
    <row r="914" ht="15.75" customHeight="1">
      <c r="A914" s="15" t="s">
        <v>1261</v>
      </c>
      <c r="B914" s="15">
        <v>1.0</v>
      </c>
      <c r="C914" s="15">
        <v>1.0</v>
      </c>
      <c r="D914" s="15">
        <v>0.142857142857143</v>
      </c>
      <c r="E914" s="15">
        <v>2.0</v>
      </c>
      <c r="F914" s="15">
        <v>1.0</v>
      </c>
      <c r="G914" s="15">
        <v>2018.0</v>
      </c>
    </row>
    <row r="915" ht="15.75" customHeight="1">
      <c r="A915" s="15" t="s">
        <v>1262</v>
      </c>
      <c r="B915" s="15">
        <v>1.0</v>
      </c>
      <c r="C915" s="15">
        <v>1.0</v>
      </c>
      <c r="D915" s="15">
        <v>0.5</v>
      </c>
      <c r="E915" s="15">
        <v>2.0</v>
      </c>
      <c r="F915" s="15">
        <v>1.0</v>
      </c>
      <c r="G915" s="15">
        <v>2023.0</v>
      </c>
    </row>
    <row r="916" ht="15.75" customHeight="1">
      <c r="A916" s="15" t="s">
        <v>1263</v>
      </c>
      <c r="B916" s="15">
        <v>1.0</v>
      </c>
      <c r="C916" s="15">
        <v>1.0</v>
      </c>
      <c r="D916" s="15">
        <v>0.25</v>
      </c>
      <c r="E916" s="15">
        <v>5.0</v>
      </c>
      <c r="F916" s="15">
        <v>1.0</v>
      </c>
      <c r="G916" s="15">
        <v>2021.0</v>
      </c>
    </row>
    <row r="917" ht="15.75" customHeight="1">
      <c r="A917" s="15" t="s">
        <v>1264</v>
      </c>
      <c r="B917" s="15">
        <v>1.0</v>
      </c>
      <c r="C917" s="15">
        <v>1.0</v>
      </c>
      <c r="D917" s="15">
        <v>0.333333333333333</v>
      </c>
      <c r="E917" s="15">
        <v>5.0</v>
      </c>
      <c r="F917" s="15">
        <v>1.0</v>
      </c>
      <c r="G917" s="15">
        <v>2022.0</v>
      </c>
    </row>
    <row r="918" ht="15.75" customHeight="1">
      <c r="A918" s="15" t="s">
        <v>1265</v>
      </c>
      <c r="B918" s="15">
        <v>1.0</v>
      </c>
      <c r="C918" s="15">
        <v>1.0</v>
      </c>
      <c r="D918" s="15">
        <v>0.2</v>
      </c>
      <c r="E918" s="15">
        <v>60.0</v>
      </c>
      <c r="F918" s="15">
        <v>1.0</v>
      </c>
      <c r="G918" s="15">
        <v>2020.0</v>
      </c>
    </row>
    <row r="919" ht="15.75" customHeight="1">
      <c r="A919" s="15" t="s">
        <v>1266</v>
      </c>
      <c r="B919" s="15">
        <v>1.0</v>
      </c>
      <c r="C919" s="15">
        <v>1.0</v>
      </c>
      <c r="D919" s="15">
        <v>0.333333333333333</v>
      </c>
      <c r="E919" s="15">
        <v>7.0</v>
      </c>
      <c r="F919" s="15">
        <v>1.0</v>
      </c>
      <c r="G919" s="15">
        <v>2022.0</v>
      </c>
    </row>
    <row r="920" ht="15.75" customHeight="1">
      <c r="A920" s="15" t="s">
        <v>1267</v>
      </c>
      <c r="B920" s="15">
        <v>1.0</v>
      </c>
      <c r="C920" s="15">
        <v>1.0</v>
      </c>
      <c r="D920" s="15">
        <v>0.166666666666667</v>
      </c>
      <c r="E920" s="15">
        <v>3.0</v>
      </c>
      <c r="F920" s="15">
        <v>1.0</v>
      </c>
      <c r="G920" s="15">
        <v>2019.0</v>
      </c>
    </row>
    <row r="921" ht="15.75" customHeight="1">
      <c r="A921" s="15" t="s">
        <v>1268</v>
      </c>
      <c r="B921" s="15">
        <v>1.0</v>
      </c>
      <c r="C921" s="15">
        <v>1.0</v>
      </c>
      <c r="D921" s="15">
        <v>0.5</v>
      </c>
      <c r="E921" s="15">
        <v>1.0</v>
      </c>
      <c r="F921" s="15">
        <v>1.0</v>
      </c>
      <c r="G921" s="15">
        <v>2023.0</v>
      </c>
    </row>
    <row r="922" ht="15.75" customHeight="1">
      <c r="A922" s="15" t="s">
        <v>1269</v>
      </c>
      <c r="B922" s="15">
        <v>1.0</v>
      </c>
      <c r="C922" s="15">
        <v>1.0</v>
      </c>
      <c r="D922" s="15">
        <v>0.333333333333333</v>
      </c>
      <c r="E922" s="15">
        <v>6.0</v>
      </c>
      <c r="F922" s="15">
        <v>1.0</v>
      </c>
      <c r="G922" s="15">
        <v>2022.0</v>
      </c>
    </row>
    <row r="923" ht="15.75" customHeight="1">
      <c r="A923" s="15" t="s">
        <v>1270</v>
      </c>
      <c r="B923" s="15">
        <v>1.0</v>
      </c>
      <c r="C923" s="15">
        <v>1.0</v>
      </c>
      <c r="D923" s="15">
        <v>0.2</v>
      </c>
      <c r="E923" s="15">
        <v>60.0</v>
      </c>
      <c r="F923" s="15">
        <v>1.0</v>
      </c>
      <c r="G923" s="15">
        <v>2020.0</v>
      </c>
    </row>
    <row r="924" ht="15.75" customHeight="1">
      <c r="A924" s="15" t="s">
        <v>1271</v>
      </c>
      <c r="B924" s="15">
        <v>1.0</v>
      </c>
      <c r="C924" s="15">
        <v>1.0</v>
      </c>
      <c r="D924" s="15">
        <v>0.0625</v>
      </c>
      <c r="E924" s="15">
        <v>2.0</v>
      </c>
      <c r="F924" s="15">
        <v>1.0</v>
      </c>
      <c r="G924" s="15">
        <v>2009.0</v>
      </c>
    </row>
    <row r="925" ht="15.75" customHeight="1">
      <c r="A925" s="15" t="s">
        <v>1272</v>
      </c>
      <c r="B925" s="15">
        <v>1.0</v>
      </c>
      <c r="C925" s="15">
        <v>1.0</v>
      </c>
      <c r="D925" s="15">
        <v>0.0714285714285714</v>
      </c>
      <c r="E925" s="15">
        <v>21.0</v>
      </c>
      <c r="F925" s="15">
        <v>1.0</v>
      </c>
      <c r="G925" s="15">
        <v>2011.0</v>
      </c>
    </row>
    <row r="926" ht="15.75" customHeight="1">
      <c r="A926" s="15" t="s">
        <v>1273</v>
      </c>
      <c r="B926" s="15">
        <v>1.0</v>
      </c>
      <c r="C926" s="15">
        <v>1.0</v>
      </c>
      <c r="D926" s="15">
        <v>0.111111111111111</v>
      </c>
      <c r="E926" s="15">
        <v>9.0</v>
      </c>
      <c r="F926" s="15">
        <v>1.0</v>
      </c>
      <c r="G926" s="15">
        <v>2016.0</v>
      </c>
    </row>
    <row r="927" ht="15.75" customHeight="1">
      <c r="A927" s="15" t="s">
        <v>1274</v>
      </c>
      <c r="B927" s="15">
        <v>1.0</v>
      </c>
      <c r="C927" s="15">
        <v>1.0</v>
      </c>
      <c r="D927" s="15">
        <v>0.0833333333333333</v>
      </c>
      <c r="E927" s="15">
        <v>5.0</v>
      </c>
      <c r="F927" s="15">
        <v>1.0</v>
      </c>
      <c r="G927" s="15">
        <v>2013.0</v>
      </c>
    </row>
    <row r="928" ht="15.75" customHeight="1">
      <c r="A928" s="15" t="s">
        <v>1275</v>
      </c>
      <c r="B928" s="15">
        <v>1.0</v>
      </c>
      <c r="C928" s="15">
        <v>1.0</v>
      </c>
      <c r="D928" s="15">
        <v>1.0</v>
      </c>
      <c r="E928" s="15">
        <v>11.0</v>
      </c>
      <c r="F928" s="15">
        <v>1.0</v>
      </c>
      <c r="G928" s="15">
        <v>2024.0</v>
      </c>
    </row>
    <row r="929" ht="15.75" customHeight="1">
      <c r="A929" s="15" t="s">
        <v>1276</v>
      </c>
      <c r="B929" s="15">
        <v>1.0</v>
      </c>
      <c r="C929" s="15">
        <v>1.0</v>
      </c>
      <c r="D929" s="15">
        <v>0.2</v>
      </c>
      <c r="E929" s="15">
        <v>97.0</v>
      </c>
      <c r="F929" s="15">
        <v>1.0</v>
      </c>
      <c r="G929" s="15">
        <v>2020.0</v>
      </c>
    </row>
    <row r="930" ht="15.75" customHeight="1">
      <c r="A930" s="15" t="s">
        <v>1277</v>
      </c>
      <c r="B930" s="15">
        <v>1.0</v>
      </c>
      <c r="C930" s="15">
        <v>1.0</v>
      </c>
      <c r="D930" s="15">
        <v>0.0714285714285714</v>
      </c>
      <c r="E930" s="15">
        <v>21.0</v>
      </c>
      <c r="F930" s="15">
        <v>1.0</v>
      </c>
      <c r="G930" s="15">
        <v>2011.0</v>
      </c>
    </row>
    <row r="931" ht="15.75" customHeight="1">
      <c r="A931" s="15" t="s">
        <v>1278</v>
      </c>
      <c r="B931" s="15">
        <v>1.0</v>
      </c>
      <c r="C931" s="15">
        <v>1.0</v>
      </c>
      <c r="D931" s="15">
        <v>1.0</v>
      </c>
      <c r="E931" s="15">
        <v>1.0</v>
      </c>
      <c r="F931" s="15">
        <v>1.0</v>
      </c>
      <c r="G931" s="15">
        <v>2024.0</v>
      </c>
    </row>
    <row r="932" ht="15.75" customHeight="1">
      <c r="A932" s="15" t="s">
        <v>1279</v>
      </c>
      <c r="B932" s="15">
        <v>1.0</v>
      </c>
      <c r="C932" s="15">
        <v>1.0</v>
      </c>
      <c r="D932" s="15">
        <v>0.5</v>
      </c>
      <c r="E932" s="15">
        <v>4.0</v>
      </c>
      <c r="F932" s="15">
        <v>1.0</v>
      </c>
      <c r="G932" s="15">
        <v>2023.0</v>
      </c>
    </row>
    <row r="933" ht="15.75" customHeight="1">
      <c r="A933" s="15" t="s">
        <v>1280</v>
      </c>
      <c r="B933" s="15">
        <v>1.0</v>
      </c>
      <c r="C933" s="15">
        <v>1.0</v>
      </c>
      <c r="D933" s="15">
        <v>1.0</v>
      </c>
      <c r="E933" s="15">
        <v>3.0</v>
      </c>
      <c r="F933" s="15">
        <v>1.0</v>
      </c>
      <c r="G933" s="15">
        <v>2024.0</v>
      </c>
    </row>
    <row r="934" ht="15.75" customHeight="1">
      <c r="A934" s="15" t="s">
        <v>1281</v>
      </c>
      <c r="B934" s="15">
        <v>1.0</v>
      </c>
      <c r="C934" s="15">
        <v>1.0</v>
      </c>
      <c r="D934" s="15">
        <v>0.333333333333333</v>
      </c>
      <c r="E934" s="15">
        <v>5.0</v>
      </c>
      <c r="F934" s="15">
        <v>1.0</v>
      </c>
      <c r="G934" s="15">
        <v>2022.0</v>
      </c>
    </row>
    <row r="935" ht="15.75" customHeight="1">
      <c r="A935" s="15" t="s">
        <v>1282</v>
      </c>
      <c r="B935" s="15">
        <v>1.0</v>
      </c>
      <c r="C935" s="15">
        <v>1.0</v>
      </c>
      <c r="D935" s="15">
        <v>0.142857142857143</v>
      </c>
      <c r="E935" s="15">
        <v>2.0</v>
      </c>
      <c r="F935" s="15">
        <v>1.0</v>
      </c>
      <c r="G935" s="15">
        <v>2018.0</v>
      </c>
    </row>
    <row r="936" ht="15.75" customHeight="1">
      <c r="A936" s="15" t="s">
        <v>1283</v>
      </c>
      <c r="B936" s="15">
        <v>1.0</v>
      </c>
      <c r="C936" s="15">
        <v>1.0</v>
      </c>
      <c r="D936" s="15">
        <v>0.166666666666667</v>
      </c>
      <c r="E936" s="15">
        <v>11.0</v>
      </c>
      <c r="F936" s="15">
        <v>1.0</v>
      </c>
      <c r="G936" s="15">
        <v>2019.0</v>
      </c>
    </row>
    <row r="937" ht="15.75" customHeight="1">
      <c r="A937" s="15" t="s">
        <v>1284</v>
      </c>
      <c r="B937" s="15">
        <v>1.0</v>
      </c>
      <c r="C937" s="15">
        <v>1.0</v>
      </c>
      <c r="D937" s="15">
        <v>0.0625</v>
      </c>
      <c r="E937" s="15">
        <v>5.0</v>
      </c>
      <c r="F937" s="15">
        <v>1.0</v>
      </c>
      <c r="G937" s="15">
        <v>2009.0</v>
      </c>
    </row>
    <row r="938" ht="15.75" customHeight="1">
      <c r="A938" s="15" t="s">
        <v>1285</v>
      </c>
      <c r="B938" s="15">
        <v>1.0</v>
      </c>
      <c r="C938" s="15">
        <v>1.0</v>
      </c>
      <c r="D938" s="15">
        <v>0.0625</v>
      </c>
      <c r="E938" s="15">
        <v>7.0</v>
      </c>
      <c r="F938" s="15">
        <v>1.0</v>
      </c>
      <c r="G938" s="15">
        <v>2009.0</v>
      </c>
    </row>
    <row r="939" ht="15.75" customHeight="1">
      <c r="A939" s="15" t="s">
        <v>1286</v>
      </c>
      <c r="B939" s="15">
        <v>1.0</v>
      </c>
      <c r="C939" s="15">
        <v>1.0</v>
      </c>
      <c r="D939" s="15">
        <v>1.0</v>
      </c>
      <c r="E939" s="15">
        <v>6.0</v>
      </c>
      <c r="F939" s="15">
        <v>1.0</v>
      </c>
      <c r="G939" s="15">
        <v>2024.0</v>
      </c>
    </row>
    <row r="940" ht="15.75" customHeight="1">
      <c r="A940" s="15" t="s">
        <v>1287</v>
      </c>
      <c r="B940" s="15">
        <v>1.0</v>
      </c>
      <c r="C940" s="15">
        <v>1.0</v>
      </c>
      <c r="D940" s="15">
        <v>0.2</v>
      </c>
      <c r="E940" s="15">
        <v>11.0</v>
      </c>
      <c r="F940" s="15">
        <v>1.0</v>
      </c>
      <c r="G940" s="15">
        <v>2020.0</v>
      </c>
    </row>
    <row r="941" ht="15.75" customHeight="1">
      <c r="A941" s="15" t="s">
        <v>1288</v>
      </c>
      <c r="B941" s="15">
        <v>1.0</v>
      </c>
      <c r="C941" s="15">
        <v>1.0</v>
      </c>
      <c r="D941" s="15">
        <v>0.1</v>
      </c>
      <c r="E941" s="15">
        <v>209.0</v>
      </c>
      <c r="F941" s="15">
        <v>1.0</v>
      </c>
      <c r="G941" s="15">
        <v>2015.0</v>
      </c>
    </row>
    <row r="942" ht="15.75" customHeight="1">
      <c r="A942" s="15" t="s">
        <v>1289</v>
      </c>
      <c r="B942" s="15">
        <v>1.0</v>
      </c>
      <c r="C942" s="15">
        <v>1.0</v>
      </c>
      <c r="D942" s="15">
        <v>0.125</v>
      </c>
      <c r="E942" s="15">
        <v>4.0</v>
      </c>
      <c r="F942" s="15">
        <v>1.0</v>
      </c>
      <c r="G942" s="15">
        <v>2017.0</v>
      </c>
    </row>
    <row r="943" ht="15.75" customHeight="1">
      <c r="A943" s="15" t="s">
        <v>1290</v>
      </c>
      <c r="B943" s="15">
        <v>1.0</v>
      </c>
      <c r="C943" s="15">
        <v>1.0</v>
      </c>
      <c r="D943" s="15">
        <v>0.5</v>
      </c>
      <c r="E943" s="15">
        <v>2.0</v>
      </c>
      <c r="F943" s="15">
        <v>1.0</v>
      </c>
      <c r="G943" s="15">
        <v>2023.0</v>
      </c>
    </row>
    <row r="944" ht="15.75" customHeight="1">
      <c r="A944" s="15" t="s">
        <v>1291</v>
      </c>
      <c r="B944" s="15">
        <v>1.0</v>
      </c>
      <c r="C944" s="15">
        <v>1.0</v>
      </c>
      <c r="D944" s="15">
        <v>0.25</v>
      </c>
      <c r="E944" s="15">
        <v>36.0</v>
      </c>
      <c r="F944" s="15">
        <v>1.0</v>
      </c>
      <c r="G944" s="15">
        <v>2021.0</v>
      </c>
    </row>
    <row r="945" ht="15.75" customHeight="1">
      <c r="A945" s="15" t="s">
        <v>1292</v>
      </c>
      <c r="B945" s="15">
        <v>1.0</v>
      </c>
      <c r="C945" s="15">
        <v>1.0</v>
      </c>
      <c r="D945" s="15">
        <v>0.125</v>
      </c>
      <c r="E945" s="15">
        <v>23.0</v>
      </c>
      <c r="F945" s="15">
        <v>1.0</v>
      </c>
      <c r="G945" s="15">
        <v>2017.0</v>
      </c>
    </row>
    <row r="946" ht="15.75" customHeight="1">
      <c r="A946" s="15" t="s">
        <v>1293</v>
      </c>
      <c r="B946" s="15">
        <v>1.0</v>
      </c>
      <c r="C946" s="15">
        <v>1.0</v>
      </c>
      <c r="D946" s="15">
        <v>1.0</v>
      </c>
      <c r="E946" s="15">
        <v>5.0</v>
      </c>
      <c r="F946" s="15">
        <v>1.0</v>
      </c>
      <c r="G946" s="15">
        <v>2024.0</v>
      </c>
    </row>
    <row r="947" ht="15.75" customHeight="1">
      <c r="A947" s="15" t="s">
        <v>1294</v>
      </c>
      <c r="B947" s="15">
        <v>1.0</v>
      </c>
      <c r="C947" s="15">
        <v>1.0</v>
      </c>
      <c r="D947" s="15">
        <v>0.142857142857143</v>
      </c>
      <c r="E947" s="15">
        <v>12.0</v>
      </c>
      <c r="F947" s="15">
        <v>1.0</v>
      </c>
      <c r="G947" s="15">
        <v>2018.0</v>
      </c>
    </row>
    <row r="948" ht="15.75" customHeight="1">
      <c r="A948" s="15" t="s">
        <v>1295</v>
      </c>
      <c r="B948" s="15">
        <v>1.0</v>
      </c>
      <c r="C948" s="15">
        <v>1.0</v>
      </c>
      <c r="D948" s="15">
        <v>0.25</v>
      </c>
      <c r="E948" s="15">
        <v>2.0</v>
      </c>
      <c r="F948" s="15">
        <v>1.0</v>
      </c>
      <c r="G948" s="15">
        <v>2021.0</v>
      </c>
    </row>
    <row r="949" ht="15.75" customHeight="1">
      <c r="A949" s="15" t="s">
        <v>1296</v>
      </c>
      <c r="B949" s="15">
        <v>1.0</v>
      </c>
      <c r="C949" s="15">
        <v>1.0</v>
      </c>
      <c r="D949" s="15">
        <v>0.2</v>
      </c>
      <c r="E949" s="15">
        <v>2.0</v>
      </c>
      <c r="F949" s="15">
        <v>1.0</v>
      </c>
      <c r="G949" s="15">
        <v>2020.0</v>
      </c>
    </row>
    <row r="950" ht="15.75" customHeight="1">
      <c r="A950" s="15" t="s">
        <v>1297</v>
      </c>
      <c r="B950" s="15">
        <v>1.0</v>
      </c>
      <c r="C950" s="15">
        <v>1.0</v>
      </c>
      <c r="D950" s="15">
        <v>0.142857142857143</v>
      </c>
      <c r="E950" s="15">
        <v>59.0</v>
      </c>
      <c r="F950" s="15">
        <v>1.0</v>
      </c>
      <c r="G950" s="15">
        <v>2018.0</v>
      </c>
    </row>
    <row r="951" ht="15.75" customHeight="1">
      <c r="A951" s="15" t="s">
        <v>1298</v>
      </c>
      <c r="B951" s="15">
        <v>1.0</v>
      </c>
      <c r="C951" s="15">
        <v>1.0</v>
      </c>
      <c r="D951" s="15">
        <v>0.0588235294117647</v>
      </c>
      <c r="E951" s="15">
        <v>18.0</v>
      </c>
      <c r="F951" s="15">
        <v>1.0</v>
      </c>
      <c r="G951" s="15">
        <v>2008.0</v>
      </c>
    </row>
    <row r="952" ht="15.75" customHeight="1">
      <c r="A952" s="15" t="s">
        <v>1299</v>
      </c>
      <c r="B952" s="15">
        <v>1.0</v>
      </c>
      <c r="C952" s="15">
        <v>1.0</v>
      </c>
      <c r="D952" s="15">
        <v>0.333333333333333</v>
      </c>
      <c r="E952" s="15">
        <v>13.0</v>
      </c>
      <c r="F952" s="15">
        <v>1.0</v>
      </c>
      <c r="G952" s="15">
        <v>2022.0</v>
      </c>
    </row>
    <row r="953" ht="15.75" customHeight="1">
      <c r="A953" s="15" t="s">
        <v>1300</v>
      </c>
      <c r="B953" s="15">
        <v>1.0</v>
      </c>
      <c r="C953" s="15">
        <v>1.0</v>
      </c>
      <c r="D953" s="15">
        <v>0.0833333333333333</v>
      </c>
      <c r="E953" s="15">
        <v>6.0</v>
      </c>
      <c r="F953" s="15">
        <v>1.0</v>
      </c>
      <c r="G953" s="15">
        <v>2013.0</v>
      </c>
    </row>
    <row r="954" ht="15.75" customHeight="1">
      <c r="A954" s="15" t="s">
        <v>1301</v>
      </c>
      <c r="B954" s="15">
        <v>1.0</v>
      </c>
      <c r="C954" s="15">
        <v>1.0</v>
      </c>
      <c r="D954" s="15">
        <v>0.2</v>
      </c>
      <c r="E954" s="15">
        <v>36.0</v>
      </c>
      <c r="F954" s="15">
        <v>1.0</v>
      </c>
      <c r="G954" s="15">
        <v>2020.0</v>
      </c>
    </row>
    <row r="955" ht="15.75" customHeight="1">
      <c r="A955" s="15" t="s">
        <v>1302</v>
      </c>
      <c r="B955" s="15">
        <v>1.0</v>
      </c>
      <c r="C955" s="15">
        <v>1.0</v>
      </c>
      <c r="D955" s="15">
        <v>0.5</v>
      </c>
      <c r="E955" s="15">
        <v>4.0</v>
      </c>
      <c r="F955" s="15">
        <v>1.0</v>
      </c>
      <c r="G955" s="15">
        <v>2023.0</v>
      </c>
    </row>
    <row r="956" ht="15.75" customHeight="1">
      <c r="A956" s="15" t="s">
        <v>1303</v>
      </c>
      <c r="B956" s="15">
        <v>1.0</v>
      </c>
      <c r="C956" s="15">
        <v>1.0</v>
      </c>
      <c r="D956" s="15">
        <v>0.166666666666667</v>
      </c>
      <c r="E956" s="15">
        <v>17.0</v>
      </c>
      <c r="F956" s="15">
        <v>1.0</v>
      </c>
      <c r="G956" s="15">
        <v>2019.0</v>
      </c>
    </row>
    <row r="957" ht="15.75" customHeight="1">
      <c r="A957" s="15" t="s">
        <v>1304</v>
      </c>
      <c r="B957" s="15">
        <v>1.0</v>
      </c>
      <c r="C957" s="15">
        <v>1.0</v>
      </c>
      <c r="D957" s="15">
        <v>0.25</v>
      </c>
      <c r="E957" s="15">
        <v>4.0</v>
      </c>
      <c r="F957" s="15">
        <v>1.0</v>
      </c>
      <c r="G957" s="15">
        <v>2021.0</v>
      </c>
    </row>
    <row r="958" ht="15.75" customHeight="1">
      <c r="A958" s="15" t="s">
        <v>1305</v>
      </c>
      <c r="B958" s="15">
        <v>1.0</v>
      </c>
      <c r="C958" s="15">
        <v>1.0</v>
      </c>
      <c r="D958" s="15">
        <v>0.166666666666667</v>
      </c>
      <c r="E958" s="15">
        <v>3.0</v>
      </c>
      <c r="F958" s="15">
        <v>1.0</v>
      </c>
      <c r="G958" s="15">
        <v>2019.0</v>
      </c>
    </row>
    <row r="959" ht="15.75" customHeight="1">
      <c r="A959" s="15" t="s">
        <v>1306</v>
      </c>
      <c r="B959" s="15">
        <v>1.0</v>
      </c>
      <c r="C959" s="15">
        <v>1.0</v>
      </c>
      <c r="D959" s="15">
        <v>0.5</v>
      </c>
      <c r="E959" s="15">
        <v>2.0</v>
      </c>
      <c r="F959" s="15">
        <v>1.0</v>
      </c>
      <c r="G959" s="15">
        <v>2023.0</v>
      </c>
    </row>
    <row r="960" ht="15.75" customHeight="1">
      <c r="A960" s="15" t="s">
        <v>1307</v>
      </c>
      <c r="B960" s="15">
        <v>1.0</v>
      </c>
      <c r="C960" s="15">
        <v>1.0</v>
      </c>
      <c r="D960" s="15">
        <v>0.25</v>
      </c>
      <c r="E960" s="15">
        <v>1.0</v>
      </c>
      <c r="F960" s="15">
        <v>1.0</v>
      </c>
      <c r="G960" s="15">
        <v>2021.0</v>
      </c>
    </row>
    <row r="961" ht="15.75" customHeight="1">
      <c r="A961" s="15" t="s">
        <v>1308</v>
      </c>
      <c r="B961" s="15">
        <v>1.0</v>
      </c>
      <c r="C961" s="15">
        <v>1.0</v>
      </c>
      <c r="D961" s="15">
        <v>0.166666666666667</v>
      </c>
      <c r="E961" s="15">
        <v>2.0</v>
      </c>
      <c r="F961" s="15">
        <v>1.0</v>
      </c>
      <c r="G961" s="15">
        <v>2019.0</v>
      </c>
    </row>
    <row r="962" ht="15.75" customHeight="1">
      <c r="A962" s="15" t="s">
        <v>1309</v>
      </c>
      <c r="B962" s="15">
        <v>1.0</v>
      </c>
      <c r="C962" s="15">
        <v>1.0</v>
      </c>
      <c r="D962" s="15">
        <v>0.5</v>
      </c>
      <c r="E962" s="15">
        <v>8.0</v>
      </c>
      <c r="F962" s="15">
        <v>1.0</v>
      </c>
      <c r="G962" s="15">
        <v>2023.0</v>
      </c>
    </row>
    <row r="963" ht="15.75" customHeight="1">
      <c r="A963" s="15" t="s">
        <v>1310</v>
      </c>
      <c r="B963" s="15">
        <v>1.0</v>
      </c>
      <c r="C963" s="15">
        <v>1.0</v>
      </c>
      <c r="D963" s="15">
        <v>0.1</v>
      </c>
      <c r="E963" s="15">
        <v>6.0</v>
      </c>
      <c r="F963" s="15">
        <v>1.0</v>
      </c>
      <c r="G963" s="15">
        <v>2015.0</v>
      </c>
    </row>
    <row r="964" ht="15.75" customHeight="1">
      <c r="A964" s="15" t="s">
        <v>1311</v>
      </c>
      <c r="B964" s="15">
        <v>1.0</v>
      </c>
      <c r="C964" s="15">
        <v>1.0</v>
      </c>
      <c r="D964" s="15">
        <v>0.1</v>
      </c>
      <c r="E964" s="15">
        <v>6.0</v>
      </c>
      <c r="F964" s="15">
        <v>1.0</v>
      </c>
      <c r="G964" s="15">
        <v>2015.0</v>
      </c>
    </row>
    <row r="965" ht="15.75" customHeight="1">
      <c r="A965" s="15" t="s">
        <v>1312</v>
      </c>
      <c r="B965" s="15">
        <v>1.0</v>
      </c>
      <c r="C965" s="15">
        <v>1.0</v>
      </c>
      <c r="D965" s="15">
        <v>0.333333333333333</v>
      </c>
      <c r="E965" s="15">
        <v>3.0</v>
      </c>
      <c r="F965" s="15">
        <v>1.0</v>
      </c>
      <c r="G965" s="15">
        <v>2022.0</v>
      </c>
    </row>
    <row r="966" ht="15.75" customHeight="1">
      <c r="A966" s="15" t="s">
        <v>1313</v>
      </c>
      <c r="B966" s="15">
        <v>1.0</v>
      </c>
      <c r="C966" s="15">
        <v>1.0</v>
      </c>
      <c r="D966" s="15">
        <v>0.166666666666667</v>
      </c>
      <c r="E966" s="15">
        <v>5.0</v>
      </c>
      <c r="F966" s="15">
        <v>1.0</v>
      </c>
      <c r="G966" s="15">
        <v>2019.0</v>
      </c>
    </row>
    <row r="967" ht="15.75" customHeight="1">
      <c r="A967" s="15" t="s">
        <v>1314</v>
      </c>
      <c r="B967" s="15">
        <v>1.0</v>
      </c>
      <c r="C967" s="15">
        <v>1.0</v>
      </c>
      <c r="D967" s="15">
        <v>0.333333333333333</v>
      </c>
      <c r="E967" s="15">
        <v>2.0</v>
      </c>
      <c r="F967" s="15">
        <v>1.0</v>
      </c>
      <c r="G967" s="15">
        <v>2022.0</v>
      </c>
    </row>
    <row r="968" ht="15.75" customHeight="1">
      <c r="A968" s="15" t="s">
        <v>1315</v>
      </c>
      <c r="B968" s="15">
        <v>1.0</v>
      </c>
      <c r="C968" s="15">
        <v>1.0</v>
      </c>
      <c r="D968" s="15">
        <v>0.0588235294117647</v>
      </c>
      <c r="E968" s="15">
        <v>6.0</v>
      </c>
      <c r="F968" s="15">
        <v>1.0</v>
      </c>
      <c r="G968" s="15">
        <v>2008.0</v>
      </c>
    </row>
    <row r="969" ht="15.75" customHeight="1">
      <c r="A969" s="15" t="s">
        <v>1316</v>
      </c>
      <c r="B969" s="15">
        <v>1.0</v>
      </c>
      <c r="C969" s="15">
        <v>1.0</v>
      </c>
      <c r="D969" s="15">
        <v>0.111111111111111</v>
      </c>
      <c r="E969" s="15">
        <v>28.0</v>
      </c>
      <c r="F969" s="15">
        <v>1.0</v>
      </c>
      <c r="G969" s="15">
        <v>2016.0</v>
      </c>
    </row>
    <row r="970" ht="15.75" customHeight="1">
      <c r="A970" s="15" t="s">
        <v>1317</v>
      </c>
      <c r="B970" s="15">
        <v>1.0</v>
      </c>
      <c r="C970" s="15">
        <v>1.0</v>
      </c>
      <c r="D970" s="15">
        <v>0.25</v>
      </c>
      <c r="E970" s="15">
        <v>4.0</v>
      </c>
      <c r="F970" s="15">
        <v>1.0</v>
      </c>
      <c r="G970" s="15">
        <v>2021.0</v>
      </c>
    </row>
    <row r="971" ht="15.75" customHeight="1">
      <c r="A971" s="15" t="s">
        <v>1318</v>
      </c>
      <c r="B971" s="15">
        <v>1.0</v>
      </c>
      <c r="C971" s="15">
        <v>1.0</v>
      </c>
      <c r="D971" s="15">
        <v>0.25</v>
      </c>
      <c r="E971" s="15">
        <v>2.0</v>
      </c>
      <c r="F971" s="15">
        <v>1.0</v>
      </c>
      <c r="G971" s="15">
        <v>2021.0</v>
      </c>
    </row>
    <row r="972" ht="15.75" customHeight="1">
      <c r="A972" s="15" t="s">
        <v>1319</v>
      </c>
      <c r="B972" s="15">
        <v>1.0</v>
      </c>
      <c r="C972" s="15">
        <v>1.0</v>
      </c>
      <c r="D972" s="15">
        <v>0.5</v>
      </c>
      <c r="E972" s="15">
        <v>5.0</v>
      </c>
      <c r="F972" s="15">
        <v>1.0</v>
      </c>
      <c r="G972" s="15">
        <v>2023.0</v>
      </c>
    </row>
    <row r="973" ht="15.75" customHeight="1">
      <c r="A973" s="15" t="s">
        <v>1320</v>
      </c>
      <c r="B973" s="15">
        <v>1.0</v>
      </c>
      <c r="C973" s="15">
        <v>1.0</v>
      </c>
      <c r="D973" s="15">
        <v>0.125</v>
      </c>
      <c r="E973" s="15">
        <v>1.0</v>
      </c>
      <c r="F973" s="15">
        <v>1.0</v>
      </c>
      <c r="G973" s="15">
        <v>2017.0</v>
      </c>
    </row>
    <row r="974" ht="15.75" customHeight="1">
      <c r="A974" s="15" t="s">
        <v>1321</v>
      </c>
      <c r="B974" s="15">
        <v>1.0</v>
      </c>
      <c r="C974" s="15">
        <v>1.0</v>
      </c>
      <c r="D974" s="15">
        <v>0.1</v>
      </c>
      <c r="E974" s="15">
        <v>13.0</v>
      </c>
      <c r="F974" s="15">
        <v>1.0</v>
      </c>
      <c r="G974" s="15">
        <v>2015.0</v>
      </c>
    </row>
    <row r="975" ht="15.75" customHeight="1">
      <c r="A975" s="15" t="s">
        <v>1322</v>
      </c>
      <c r="B975" s="15">
        <v>1.0</v>
      </c>
      <c r="C975" s="15">
        <v>1.0</v>
      </c>
      <c r="D975" s="15">
        <v>0.25</v>
      </c>
      <c r="E975" s="15">
        <v>11.0</v>
      </c>
      <c r="F975" s="15">
        <v>1.0</v>
      </c>
      <c r="G975" s="15">
        <v>2021.0</v>
      </c>
    </row>
    <row r="976" ht="15.75" customHeight="1">
      <c r="A976" s="15" t="s">
        <v>1323</v>
      </c>
      <c r="B976" s="15">
        <v>1.0</v>
      </c>
      <c r="C976" s="15">
        <v>1.0</v>
      </c>
      <c r="D976" s="15">
        <v>0.142857142857143</v>
      </c>
      <c r="E976" s="15">
        <v>1.0</v>
      </c>
      <c r="F976" s="15">
        <v>1.0</v>
      </c>
      <c r="G976" s="15">
        <v>2018.0</v>
      </c>
    </row>
    <row r="977" ht="15.75" customHeight="1">
      <c r="A977" s="15" t="s">
        <v>1324</v>
      </c>
      <c r="B977" s="15">
        <v>1.0</v>
      </c>
      <c r="C977" s="15">
        <v>1.0</v>
      </c>
      <c r="D977" s="15">
        <v>0.0588235294117647</v>
      </c>
      <c r="E977" s="15">
        <v>6.0</v>
      </c>
      <c r="F977" s="15">
        <v>1.0</v>
      </c>
      <c r="G977" s="15">
        <v>2008.0</v>
      </c>
    </row>
    <row r="978" ht="15.75" customHeight="1">
      <c r="A978" s="15" t="s">
        <v>1325</v>
      </c>
      <c r="B978" s="15">
        <v>1.0</v>
      </c>
      <c r="C978" s="15">
        <v>1.0</v>
      </c>
      <c r="D978" s="15">
        <v>0.0476190476190476</v>
      </c>
      <c r="E978" s="15">
        <v>58.0</v>
      </c>
      <c r="F978" s="15">
        <v>1.0</v>
      </c>
      <c r="G978" s="15">
        <v>2004.0</v>
      </c>
    </row>
    <row r="979" ht="15.75" customHeight="1">
      <c r="A979" s="15" t="s">
        <v>1326</v>
      </c>
      <c r="B979" s="15">
        <v>1.0</v>
      </c>
      <c r="C979" s="15">
        <v>1.0</v>
      </c>
      <c r="D979" s="15">
        <v>0.25</v>
      </c>
      <c r="E979" s="15">
        <v>44.0</v>
      </c>
      <c r="F979" s="15">
        <v>1.0</v>
      </c>
      <c r="G979" s="15">
        <v>2021.0</v>
      </c>
    </row>
    <row r="980" ht="15.75" customHeight="1">
      <c r="A980" s="15" t="s">
        <v>1327</v>
      </c>
      <c r="B980" s="15">
        <v>1.0</v>
      </c>
      <c r="C980" s="15">
        <v>1.0</v>
      </c>
      <c r="D980" s="15">
        <v>0.5</v>
      </c>
      <c r="E980" s="15">
        <v>8.0</v>
      </c>
      <c r="F980" s="15">
        <v>1.0</v>
      </c>
      <c r="G980" s="15">
        <v>2023.0</v>
      </c>
    </row>
    <row r="981" ht="15.75" customHeight="1">
      <c r="A981" s="15" t="s">
        <v>1328</v>
      </c>
      <c r="B981" s="15">
        <v>1.0</v>
      </c>
      <c r="C981" s="15">
        <v>1.0</v>
      </c>
      <c r="D981" s="15">
        <v>0.5</v>
      </c>
      <c r="E981" s="15">
        <v>5.0</v>
      </c>
      <c r="F981" s="15">
        <v>1.0</v>
      </c>
      <c r="G981" s="15">
        <v>2023.0</v>
      </c>
    </row>
    <row r="982" ht="15.75" customHeight="1">
      <c r="A982" s="15" t="s">
        <v>1329</v>
      </c>
      <c r="B982" s="15">
        <v>1.0</v>
      </c>
      <c r="C982" s="15">
        <v>1.0</v>
      </c>
      <c r="D982" s="15">
        <v>0.25</v>
      </c>
      <c r="E982" s="15">
        <v>12.0</v>
      </c>
      <c r="F982" s="15">
        <v>1.0</v>
      </c>
      <c r="G982" s="15">
        <v>2021.0</v>
      </c>
    </row>
    <row r="983" ht="15.75" customHeight="1">
      <c r="A983" s="15" t="s">
        <v>1330</v>
      </c>
      <c r="B983" s="15">
        <v>1.0</v>
      </c>
      <c r="C983" s="15">
        <v>1.0</v>
      </c>
      <c r="D983" s="15">
        <v>0.166666666666667</v>
      </c>
      <c r="E983" s="15">
        <v>2.0</v>
      </c>
      <c r="F983" s="15">
        <v>1.0</v>
      </c>
      <c r="G983" s="15">
        <v>2019.0</v>
      </c>
    </row>
    <row r="984" ht="15.75" customHeight="1">
      <c r="A984" s="15" t="s">
        <v>1331</v>
      </c>
      <c r="B984" s="15">
        <v>1.0</v>
      </c>
      <c r="C984" s="15">
        <v>1.0</v>
      </c>
      <c r="D984" s="15">
        <v>0.0588235294117647</v>
      </c>
      <c r="E984" s="15">
        <v>11.0</v>
      </c>
      <c r="F984" s="15">
        <v>1.0</v>
      </c>
      <c r="G984" s="15">
        <v>2008.0</v>
      </c>
    </row>
    <row r="985" ht="15.75" customHeight="1">
      <c r="A985" s="15" t="s">
        <v>1332</v>
      </c>
      <c r="B985" s="15">
        <v>1.0</v>
      </c>
      <c r="C985" s="15">
        <v>1.0</v>
      </c>
      <c r="D985" s="15">
        <v>1.0</v>
      </c>
      <c r="E985" s="15">
        <v>6.0</v>
      </c>
      <c r="F985" s="15">
        <v>1.0</v>
      </c>
      <c r="G985" s="15">
        <v>2024.0</v>
      </c>
    </row>
    <row r="986" ht="15.75" customHeight="1">
      <c r="A986" s="15" t="s">
        <v>1333</v>
      </c>
      <c r="B986" s="15">
        <v>1.0</v>
      </c>
      <c r="C986" s="15">
        <v>1.0</v>
      </c>
      <c r="D986" s="15">
        <v>0.0666666666666667</v>
      </c>
      <c r="E986" s="15">
        <v>6.0</v>
      </c>
      <c r="F986" s="15">
        <v>1.0</v>
      </c>
      <c r="G986" s="15">
        <v>2010.0</v>
      </c>
    </row>
    <row r="987" ht="15.75" customHeight="1">
      <c r="A987" s="15" t="s">
        <v>1334</v>
      </c>
      <c r="B987" s="15">
        <v>1.0</v>
      </c>
      <c r="C987" s="15">
        <v>1.0</v>
      </c>
      <c r="D987" s="15">
        <v>0.5</v>
      </c>
      <c r="E987" s="15">
        <v>13.0</v>
      </c>
      <c r="F987" s="15">
        <v>1.0</v>
      </c>
      <c r="G987" s="15">
        <v>2023.0</v>
      </c>
    </row>
    <row r="988" ht="15.75" customHeight="1">
      <c r="A988" s="15" t="s">
        <v>1335</v>
      </c>
      <c r="B988" s="15">
        <v>1.0</v>
      </c>
      <c r="C988" s="15">
        <v>1.0</v>
      </c>
      <c r="D988" s="15">
        <v>0.333333333333333</v>
      </c>
      <c r="E988" s="15">
        <v>5.0</v>
      </c>
      <c r="F988" s="15">
        <v>1.0</v>
      </c>
      <c r="G988" s="15">
        <v>2022.0</v>
      </c>
    </row>
    <row r="989" ht="15.75" customHeight="1">
      <c r="A989" s="15" t="s">
        <v>1336</v>
      </c>
      <c r="B989" s="15">
        <v>1.0</v>
      </c>
      <c r="C989" s="15">
        <v>1.0</v>
      </c>
      <c r="D989" s="15">
        <v>0.5</v>
      </c>
      <c r="E989" s="15">
        <v>3.0</v>
      </c>
      <c r="F989" s="15">
        <v>1.0</v>
      </c>
      <c r="G989" s="15">
        <v>2023.0</v>
      </c>
    </row>
    <row r="990" ht="15.75" customHeight="1">
      <c r="A990" s="15" t="s">
        <v>1337</v>
      </c>
      <c r="B990" s="15">
        <v>1.0</v>
      </c>
      <c r="C990" s="15">
        <v>1.0</v>
      </c>
      <c r="D990" s="15">
        <v>0.5</v>
      </c>
      <c r="E990" s="15">
        <v>28.0</v>
      </c>
      <c r="F990" s="15">
        <v>1.0</v>
      </c>
      <c r="G990" s="15">
        <v>2023.0</v>
      </c>
    </row>
    <row r="991" ht="15.75" customHeight="1">
      <c r="A991" s="15" t="s">
        <v>1338</v>
      </c>
      <c r="B991" s="15">
        <v>1.0</v>
      </c>
      <c r="C991" s="15">
        <v>1.0</v>
      </c>
      <c r="D991" s="15">
        <v>0.1</v>
      </c>
      <c r="E991" s="15">
        <v>16.0</v>
      </c>
      <c r="F991" s="15">
        <v>1.0</v>
      </c>
      <c r="G991" s="15">
        <v>2015.0</v>
      </c>
    </row>
    <row r="992" ht="15.75" customHeight="1">
      <c r="A992" s="15" t="s">
        <v>1339</v>
      </c>
      <c r="B992" s="15">
        <v>1.0</v>
      </c>
      <c r="C992" s="15">
        <v>1.0</v>
      </c>
      <c r="D992" s="15">
        <v>0.166666666666667</v>
      </c>
      <c r="E992" s="15">
        <v>11.0</v>
      </c>
      <c r="F992" s="15">
        <v>1.0</v>
      </c>
      <c r="G992" s="15">
        <v>2019.0</v>
      </c>
    </row>
    <row r="993" ht="15.75" customHeight="1">
      <c r="A993" s="15" t="s">
        <v>1340</v>
      </c>
      <c r="B993" s="15">
        <v>1.0</v>
      </c>
      <c r="C993" s="15">
        <v>1.0</v>
      </c>
      <c r="D993" s="15">
        <v>0.142857142857143</v>
      </c>
      <c r="E993" s="15">
        <v>13.0</v>
      </c>
      <c r="F993" s="15">
        <v>1.0</v>
      </c>
      <c r="G993" s="15">
        <v>2018.0</v>
      </c>
    </row>
    <row r="994" ht="15.75" customHeight="1">
      <c r="A994" s="15" t="s">
        <v>1341</v>
      </c>
      <c r="B994" s="15">
        <v>1.0</v>
      </c>
      <c r="C994" s="15">
        <v>1.0</v>
      </c>
      <c r="D994" s="15">
        <v>0.0833333333333333</v>
      </c>
      <c r="E994" s="15">
        <v>5.0</v>
      </c>
      <c r="F994" s="15">
        <v>1.0</v>
      </c>
      <c r="G994" s="15">
        <v>2013.0</v>
      </c>
    </row>
    <row r="995" ht="15.75" customHeight="1">
      <c r="A995" s="15" t="s">
        <v>1342</v>
      </c>
      <c r="B995" s="15">
        <v>1.0</v>
      </c>
      <c r="C995" s="15">
        <v>1.0</v>
      </c>
      <c r="D995" s="15">
        <v>0.1</v>
      </c>
      <c r="E995" s="15">
        <v>14.0</v>
      </c>
      <c r="F995" s="15">
        <v>1.0</v>
      </c>
      <c r="G995" s="15">
        <v>2015.0</v>
      </c>
    </row>
    <row r="996" ht="15.75" customHeight="1">
      <c r="A996" s="15" t="s">
        <v>1343</v>
      </c>
      <c r="B996" s="15">
        <v>1.0</v>
      </c>
      <c r="C996" s="15">
        <v>1.0</v>
      </c>
      <c r="D996" s="15">
        <v>0.5</v>
      </c>
      <c r="E996" s="15">
        <v>1.0</v>
      </c>
      <c r="F996" s="15">
        <v>1.0</v>
      </c>
      <c r="G996" s="15">
        <v>2023.0</v>
      </c>
    </row>
    <row r="997" ht="15.75" customHeight="1">
      <c r="A997" s="15" t="s">
        <v>1344</v>
      </c>
      <c r="B997" s="15">
        <v>1.0</v>
      </c>
      <c r="C997" s="15">
        <v>1.0</v>
      </c>
      <c r="D997" s="15">
        <v>0.5</v>
      </c>
      <c r="E997" s="15">
        <v>11.0</v>
      </c>
      <c r="F997" s="15">
        <v>1.0</v>
      </c>
      <c r="G997" s="15">
        <v>2023.0</v>
      </c>
    </row>
    <row r="998" ht="15.75" customHeight="1">
      <c r="A998" s="15" t="s">
        <v>1345</v>
      </c>
      <c r="B998" s="15">
        <v>1.0</v>
      </c>
      <c r="C998" s="15">
        <v>1.0</v>
      </c>
      <c r="D998" s="15">
        <v>0.1</v>
      </c>
      <c r="E998" s="15">
        <v>10.0</v>
      </c>
      <c r="F998" s="15">
        <v>1.0</v>
      </c>
      <c r="G998" s="15">
        <v>2015.0</v>
      </c>
    </row>
    <row r="999" ht="15.75" customHeight="1">
      <c r="A999" s="15" t="s">
        <v>1346</v>
      </c>
      <c r="B999" s="15">
        <v>1.0</v>
      </c>
      <c r="C999" s="15">
        <v>1.0</v>
      </c>
      <c r="D999" s="15">
        <v>0.333333333333333</v>
      </c>
      <c r="E999" s="15">
        <v>2.0</v>
      </c>
      <c r="F999" s="15">
        <v>1.0</v>
      </c>
      <c r="G999" s="15">
        <v>2022.0</v>
      </c>
    </row>
    <row r="1000" ht="15.75" customHeight="1">
      <c r="A1000" s="15" t="s">
        <v>1347</v>
      </c>
      <c r="B1000" s="15">
        <v>1.0</v>
      </c>
      <c r="C1000" s="15">
        <v>1.0</v>
      </c>
      <c r="D1000" s="15">
        <v>0.25</v>
      </c>
      <c r="E1000" s="15">
        <v>4.0</v>
      </c>
      <c r="F1000" s="15">
        <v>1.0</v>
      </c>
      <c r="G1000" s="15">
        <v>2021.0</v>
      </c>
    </row>
    <row r="1001" ht="15.75" customHeight="1">
      <c r="A1001" s="15" t="s">
        <v>1348</v>
      </c>
      <c r="B1001" s="15">
        <v>1.0</v>
      </c>
      <c r="C1001" s="15">
        <v>1.0</v>
      </c>
      <c r="D1001" s="15">
        <v>0.5</v>
      </c>
      <c r="E1001" s="15">
        <v>1.0</v>
      </c>
      <c r="F1001" s="15">
        <v>1.0</v>
      </c>
      <c r="G1001" s="15">
        <v>2023.0</v>
      </c>
    </row>
    <row r="1002" ht="15.75" customHeight="1">
      <c r="A1002" s="15" t="s">
        <v>1349</v>
      </c>
      <c r="B1002" s="15">
        <v>1.0</v>
      </c>
      <c r="C1002" s="15">
        <v>1.0</v>
      </c>
      <c r="D1002" s="15">
        <v>0.5</v>
      </c>
      <c r="E1002" s="15">
        <v>3.0</v>
      </c>
      <c r="F1002" s="15">
        <v>1.0</v>
      </c>
      <c r="G1002" s="15">
        <v>2023.0</v>
      </c>
    </row>
    <row r="1003" ht="15.75" customHeight="1">
      <c r="A1003" s="15" t="s">
        <v>1350</v>
      </c>
      <c r="B1003" s="15">
        <v>1.0</v>
      </c>
      <c r="C1003" s="15">
        <v>1.0</v>
      </c>
      <c r="D1003" s="15">
        <v>0.166666666666667</v>
      </c>
      <c r="E1003" s="15">
        <v>3.0</v>
      </c>
      <c r="F1003" s="15">
        <v>1.0</v>
      </c>
      <c r="G1003" s="15">
        <v>2019.0</v>
      </c>
    </row>
    <row r="1004" ht="15.75" customHeight="1">
      <c r="A1004" s="15" t="s">
        <v>1351</v>
      </c>
      <c r="B1004" s="15">
        <v>1.0</v>
      </c>
      <c r="C1004" s="15">
        <v>1.0</v>
      </c>
      <c r="D1004" s="15">
        <v>0.25</v>
      </c>
      <c r="E1004" s="15">
        <v>44.0</v>
      </c>
      <c r="F1004" s="15">
        <v>1.0</v>
      </c>
      <c r="G1004" s="15">
        <v>2021.0</v>
      </c>
    </row>
    <row r="1005" ht="15.75" customHeight="1">
      <c r="A1005" s="15" t="s">
        <v>1352</v>
      </c>
      <c r="B1005" s="15">
        <v>1.0</v>
      </c>
      <c r="C1005" s="15">
        <v>1.0</v>
      </c>
      <c r="D1005" s="15">
        <v>1.0</v>
      </c>
      <c r="E1005" s="15">
        <v>11.0</v>
      </c>
      <c r="F1005" s="15">
        <v>1.0</v>
      </c>
      <c r="G1005" s="15">
        <v>2024.0</v>
      </c>
    </row>
    <row r="1006" ht="15.75" customHeight="1">
      <c r="A1006" s="15" t="s">
        <v>1353</v>
      </c>
      <c r="B1006" s="15">
        <v>1.0</v>
      </c>
      <c r="C1006" s="15">
        <v>1.0</v>
      </c>
      <c r="D1006" s="15">
        <v>0.333333333333333</v>
      </c>
      <c r="E1006" s="15">
        <v>2.0</v>
      </c>
      <c r="F1006" s="15">
        <v>1.0</v>
      </c>
      <c r="G1006" s="15">
        <v>2022.0</v>
      </c>
    </row>
    <row r="1007" ht="15.75" customHeight="1">
      <c r="A1007" s="15" t="s">
        <v>1354</v>
      </c>
      <c r="B1007" s="15">
        <v>1.0</v>
      </c>
      <c r="C1007" s="15">
        <v>1.0</v>
      </c>
      <c r="D1007" s="15">
        <v>0.333333333333333</v>
      </c>
      <c r="E1007" s="15">
        <v>2.0</v>
      </c>
      <c r="F1007" s="15">
        <v>1.0</v>
      </c>
      <c r="G1007" s="15">
        <v>2022.0</v>
      </c>
    </row>
    <row r="1008" ht="15.75" customHeight="1">
      <c r="A1008" s="15" t="s">
        <v>1355</v>
      </c>
      <c r="B1008" s="15">
        <v>1.0</v>
      </c>
      <c r="C1008" s="15">
        <v>1.0</v>
      </c>
      <c r="D1008" s="15">
        <v>0.142857142857143</v>
      </c>
      <c r="E1008" s="15">
        <v>12.0</v>
      </c>
      <c r="F1008" s="15">
        <v>1.0</v>
      </c>
      <c r="G1008" s="15">
        <v>2018.0</v>
      </c>
    </row>
    <row r="1009" ht="15.75" customHeight="1">
      <c r="A1009" s="15" t="s">
        <v>1356</v>
      </c>
      <c r="B1009" s="15">
        <v>1.0</v>
      </c>
      <c r="C1009" s="15">
        <v>1.0</v>
      </c>
      <c r="D1009" s="15">
        <v>0.5</v>
      </c>
      <c r="E1009" s="15">
        <v>6.0</v>
      </c>
      <c r="F1009" s="15">
        <v>1.0</v>
      </c>
      <c r="G1009" s="15">
        <v>2023.0</v>
      </c>
    </row>
    <row r="1010" ht="15.75" customHeight="1">
      <c r="A1010" s="15" t="s">
        <v>1357</v>
      </c>
      <c r="B1010" s="15">
        <v>1.0</v>
      </c>
      <c r="C1010" s="15">
        <v>1.0</v>
      </c>
      <c r="D1010" s="15">
        <v>0.333333333333333</v>
      </c>
      <c r="E1010" s="15">
        <v>6.0</v>
      </c>
      <c r="F1010" s="15">
        <v>1.0</v>
      </c>
      <c r="G1010" s="15">
        <v>2022.0</v>
      </c>
    </row>
    <row r="1011" ht="15.75" customHeight="1">
      <c r="A1011" s="15" t="s">
        <v>1358</v>
      </c>
      <c r="B1011" s="15">
        <v>1.0</v>
      </c>
      <c r="C1011" s="15">
        <v>1.0</v>
      </c>
      <c r="D1011" s="15">
        <v>0.25</v>
      </c>
      <c r="E1011" s="15">
        <v>30.0</v>
      </c>
      <c r="F1011" s="15">
        <v>1.0</v>
      </c>
      <c r="G1011" s="15">
        <v>2021.0</v>
      </c>
    </row>
    <row r="1012" ht="15.75" customHeight="1">
      <c r="A1012" s="15" t="s">
        <v>1359</v>
      </c>
      <c r="B1012" s="15">
        <v>1.0</v>
      </c>
      <c r="C1012" s="15">
        <v>1.0</v>
      </c>
      <c r="D1012" s="15">
        <v>0.2</v>
      </c>
      <c r="E1012" s="15">
        <v>11.0</v>
      </c>
      <c r="F1012" s="15">
        <v>1.0</v>
      </c>
      <c r="G1012" s="15">
        <v>2020.0</v>
      </c>
    </row>
    <row r="1013" ht="15.75" customHeight="1">
      <c r="A1013" s="15" t="s">
        <v>1360</v>
      </c>
      <c r="B1013" s="15">
        <v>1.0</v>
      </c>
      <c r="C1013" s="15">
        <v>1.0</v>
      </c>
      <c r="D1013" s="15">
        <v>0.125</v>
      </c>
      <c r="E1013" s="15">
        <v>17.0</v>
      </c>
      <c r="F1013" s="15">
        <v>1.0</v>
      </c>
      <c r="G1013" s="15">
        <v>2017.0</v>
      </c>
    </row>
    <row r="1014" ht="15.75" customHeight="1">
      <c r="A1014" s="15" t="s">
        <v>1361</v>
      </c>
      <c r="B1014" s="15">
        <v>1.0</v>
      </c>
      <c r="C1014" s="15">
        <v>1.0</v>
      </c>
      <c r="D1014" s="15">
        <v>0.5</v>
      </c>
      <c r="E1014" s="15">
        <v>6.0</v>
      </c>
      <c r="F1014" s="15">
        <v>1.0</v>
      </c>
      <c r="G1014" s="15">
        <v>2023.0</v>
      </c>
    </row>
    <row r="1015" ht="15.75" customHeight="1">
      <c r="A1015" s="15" t="s">
        <v>1362</v>
      </c>
      <c r="B1015" s="15">
        <v>1.0</v>
      </c>
      <c r="C1015" s="15">
        <v>1.0</v>
      </c>
      <c r="D1015" s="15">
        <v>0.0909090909090909</v>
      </c>
      <c r="E1015" s="15">
        <v>2.0</v>
      </c>
      <c r="F1015" s="15">
        <v>1.0</v>
      </c>
      <c r="G1015" s="15">
        <v>2014.0</v>
      </c>
    </row>
    <row r="1016" ht="15.75" customHeight="1">
      <c r="A1016" s="15" t="s">
        <v>1363</v>
      </c>
      <c r="B1016" s="15">
        <v>1.0</v>
      </c>
      <c r="C1016" s="15">
        <v>1.0</v>
      </c>
      <c r="D1016" s="15">
        <v>0.0714285714285714</v>
      </c>
      <c r="E1016" s="15">
        <v>23.0</v>
      </c>
      <c r="F1016" s="15">
        <v>1.0</v>
      </c>
      <c r="G1016" s="15">
        <v>2011.0</v>
      </c>
    </row>
    <row r="1017" ht="15.75" customHeight="1">
      <c r="A1017" s="15" t="s">
        <v>1364</v>
      </c>
      <c r="B1017" s="15">
        <v>1.0</v>
      </c>
      <c r="C1017" s="15">
        <v>1.0</v>
      </c>
      <c r="D1017" s="15">
        <v>1.0</v>
      </c>
      <c r="E1017" s="15">
        <v>2.0</v>
      </c>
      <c r="F1017" s="15">
        <v>1.0</v>
      </c>
      <c r="G1017" s="15">
        <v>2024.0</v>
      </c>
    </row>
    <row r="1018" ht="15.75" customHeight="1">
      <c r="A1018" s="15" t="s">
        <v>1365</v>
      </c>
      <c r="B1018" s="15">
        <v>1.0</v>
      </c>
      <c r="C1018" s="15">
        <v>1.0</v>
      </c>
      <c r="D1018" s="15">
        <v>0.333333333333333</v>
      </c>
      <c r="E1018" s="15">
        <v>9.0</v>
      </c>
      <c r="F1018" s="15">
        <v>1.0</v>
      </c>
      <c r="G1018" s="15">
        <v>2022.0</v>
      </c>
    </row>
    <row r="1019" ht="15.75" customHeight="1">
      <c r="A1019" s="15" t="s">
        <v>1366</v>
      </c>
      <c r="B1019" s="15">
        <v>1.0</v>
      </c>
      <c r="C1019" s="15">
        <v>1.0</v>
      </c>
      <c r="D1019" s="15">
        <v>0.25</v>
      </c>
      <c r="E1019" s="15">
        <v>2.0</v>
      </c>
      <c r="F1019" s="15">
        <v>1.0</v>
      </c>
      <c r="G1019" s="15">
        <v>2021.0</v>
      </c>
    </row>
    <row r="1020" ht="15.75" customHeight="1">
      <c r="A1020" s="15" t="s">
        <v>1367</v>
      </c>
      <c r="B1020" s="15">
        <v>1.0</v>
      </c>
      <c r="C1020" s="15">
        <v>1.0</v>
      </c>
      <c r="D1020" s="15">
        <v>0.0909090909090909</v>
      </c>
      <c r="E1020" s="15">
        <v>2.0</v>
      </c>
      <c r="F1020" s="15">
        <v>1.0</v>
      </c>
      <c r="G1020" s="15">
        <v>2014.0</v>
      </c>
    </row>
    <row r="1021" ht="15.75" customHeight="1">
      <c r="A1021" s="15" t="s">
        <v>1368</v>
      </c>
      <c r="B1021" s="15">
        <v>1.0</v>
      </c>
      <c r="C1021" s="15">
        <v>1.0</v>
      </c>
      <c r="D1021" s="15">
        <v>0.0909090909090909</v>
      </c>
      <c r="E1021" s="15">
        <v>2.0</v>
      </c>
      <c r="F1021" s="15">
        <v>1.0</v>
      </c>
      <c r="G1021" s="15">
        <v>2014.0</v>
      </c>
    </row>
    <row r="1022" ht="15.75" customHeight="1">
      <c r="A1022" s="15" t="s">
        <v>1369</v>
      </c>
      <c r="B1022" s="15">
        <v>1.0</v>
      </c>
      <c r="C1022" s="15">
        <v>1.0</v>
      </c>
      <c r="D1022" s="15">
        <v>0.25</v>
      </c>
      <c r="E1022" s="15">
        <v>23.0</v>
      </c>
      <c r="F1022" s="15">
        <v>1.0</v>
      </c>
      <c r="G1022" s="15">
        <v>2021.0</v>
      </c>
    </row>
    <row r="1023" ht="15.75" customHeight="1">
      <c r="A1023" s="15" t="s">
        <v>1370</v>
      </c>
      <c r="B1023" s="15">
        <v>1.0</v>
      </c>
      <c r="C1023" s="15">
        <v>1.0</v>
      </c>
      <c r="D1023" s="15">
        <v>0.333333333333333</v>
      </c>
      <c r="E1023" s="15">
        <v>2.0</v>
      </c>
      <c r="F1023" s="15">
        <v>1.0</v>
      </c>
      <c r="G1023" s="15">
        <v>2022.0</v>
      </c>
    </row>
    <row r="1024" ht="15.75" customHeight="1">
      <c r="A1024" s="15" t="s">
        <v>1371</v>
      </c>
      <c r="B1024" s="15">
        <v>1.0</v>
      </c>
      <c r="C1024" s="15">
        <v>1.0</v>
      </c>
      <c r="D1024" s="15">
        <v>0.5</v>
      </c>
      <c r="E1024" s="15">
        <v>1.0</v>
      </c>
      <c r="F1024" s="15">
        <v>1.0</v>
      </c>
      <c r="G1024" s="15">
        <v>2023.0</v>
      </c>
    </row>
    <row r="1025" ht="15.75" customHeight="1">
      <c r="A1025" s="15" t="s">
        <v>1372</v>
      </c>
      <c r="B1025" s="15">
        <v>1.0</v>
      </c>
      <c r="C1025" s="15">
        <v>1.0</v>
      </c>
      <c r="D1025" s="15">
        <v>0.166666666666667</v>
      </c>
      <c r="E1025" s="15">
        <v>4.0</v>
      </c>
      <c r="F1025" s="15">
        <v>1.0</v>
      </c>
      <c r="G1025" s="15">
        <v>2019.0</v>
      </c>
    </row>
    <row r="1026" ht="15.75" customHeight="1">
      <c r="A1026" s="15" t="s">
        <v>1373</v>
      </c>
      <c r="B1026" s="15">
        <v>1.0</v>
      </c>
      <c r="C1026" s="15">
        <v>1.0</v>
      </c>
      <c r="D1026" s="15">
        <v>0.5</v>
      </c>
      <c r="E1026" s="15">
        <v>7.0</v>
      </c>
      <c r="F1026" s="15">
        <v>1.0</v>
      </c>
      <c r="G1026" s="15">
        <v>2023.0</v>
      </c>
    </row>
    <row r="1027" ht="15.75" customHeight="1">
      <c r="A1027" s="15" t="s">
        <v>1374</v>
      </c>
      <c r="B1027" s="15">
        <v>1.0</v>
      </c>
      <c r="C1027" s="15">
        <v>1.0</v>
      </c>
      <c r="D1027" s="15">
        <v>0.333333333333333</v>
      </c>
      <c r="E1027" s="15">
        <v>56.0</v>
      </c>
      <c r="F1027" s="15">
        <v>1.0</v>
      </c>
      <c r="G1027" s="15">
        <v>2022.0</v>
      </c>
    </row>
    <row r="1028" ht="15.75" customHeight="1">
      <c r="A1028" s="15" t="s">
        <v>1375</v>
      </c>
      <c r="B1028" s="15">
        <v>1.0</v>
      </c>
      <c r="C1028" s="15">
        <v>1.0</v>
      </c>
      <c r="D1028" s="15">
        <v>0.166666666666667</v>
      </c>
      <c r="E1028" s="15">
        <v>3.0</v>
      </c>
      <c r="F1028" s="15">
        <v>1.0</v>
      </c>
      <c r="G1028" s="15">
        <v>2019.0</v>
      </c>
    </row>
    <row r="1029" ht="15.75" customHeight="1">
      <c r="A1029" s="15" t="s">
        <v>1376</v>
      </c>
      <c r="B1029" s="15">
        <v>1.0</v>
      </c>
      <c r="C1029" s="15">
        <v>1.0</v>
      </c>
      <c r="D1029" s="15">
        <v>0.166666666666667</v>
      </c>
      <c r="E1029" s="15">
        <v>7.0</v>
      </c>
      <c r="F1029" s="15">
        <v>1.0</v>
      </c>
      <c r="G1029" s="15">
        <v>2019.0</v>
      </c>
    </row>
    <row r="1030" ht="15.75" customHeight="1">
      <c r="A1030" s="15" t="s">
        <v>1377</v>
      </c>
      <c r="B1030" s="15">
        <v>1.0</v>
      </c>
      <c r="C1030" s="15">
        <v>1.0</v>
      </c>
      <c r="D1030" s="15">
        <v>0.166666666666667</v>
      </c>
      <c r="E1030" s="15">
        <v>1.0</v>
      </c>
      <c r="F1030" s="15">
        <v>1.0</v>
      </c>
      <c r="G1030" s="15">
        <v>2019.0</v>
      </c>
    </row>
    <row r="1031" ht="15.75" customHeight="1">
      <c r="A1031" s="15" t="s">
        <v>1378</v>
      </c>
      <c r="B1031" s="15">
        <v>1.0</v>
      </c>
      <c r="C1031" s="15">
        <v>1.0</v>
      </c>
      <c r="D1031" s="15">
        <v>0.25</v>
      </c>
      <c r="E1031" s="15">
        <v>5.0</v>
      </c>
      <c r="F1031" s="15">
        <v>1.0</v>
      </c>
      <c r="G1031" s="15">
        <v>2021.0</v>
      </c>
    </row>
    <row r="1032" ht="15.75" customHeight="1">
      <c r="A1032" s="15" t="s">
        <v>1379</v>
      </c>
      <c r="B1032" s="15">
        <v>1.0</v>
      </c>
      <c r="C1032" s="15">
        <v>1.0</v>
      </c>
      <c r="D1032" s="15">
        <v>0.166666666666667</v>
      </c>
      <c r="E1032" s="15">
        <v>7.0</v>
      </c>
      <c r="F1032" s="15">
        <v>1.0</v>
      </c>
      <c r="G1032" s="15">
        <v>2019.0</v>
      </c>
    </row>
    <row r="1033" ht="15.75" customHeight="1">
      <c r="A1033" s="15" t="s">
        <v>1380</v>
      </c>
      <c r="B1033" s="15">
        <v>1.0</v>
      </c>
      <c r="C1033" s="15">
        <v>1.0</v>
      </c>
      <c r="D1033" s="15">
        <v>1.0</v>
      </c>
      <c r="E1033" s="15">
        <v>1.0</v>
      </c>
      <c r="F1033" s="15">
        <v>1.0</v>
      </c>
      <c r="G1033" s="15">
        <v>2024.0</v>
      </c>
    </row>
    <row r="1034" ht="15.75" customHeight="1">
      <c r="A1034" s="15" t="s">
        <v>1381</v>
      </c>
      <c r="B1034" s="15">
        <v>1.0</v>
      </c>
      <c r="C1034" s="15">
        <v>1.0</v>
      </c>
      <c r="D1034" s="15">
        <v>0.5</v>
      </c>
      <c r="E1034" s="15">
        <v>2.0</v>
      </c>
      <c r="F1034" s="15">
        <v>1.0</v>
      </c>
      <c r="G1034" s="15">
        <v>2023.0</v>
      </c>
    </row>
    <row r="1035" ht="15.75" customHeight="1">
      <c r="A1035" s="15" t="s">
        <v>1382</v>
      </c>
      <c r="B1035" s="15">
        <v>1.0</v>
      </c>
      <c r="C1035" s="15">
        <v>1.0</v>
      </c>
      <c r="D1035" s="15">
        <v>0.0555555555555556</v>
      </c>
      <c r="E1035" s="15">
        <v>14.0</v>
      </c>
      <c r="F1035" s="15">
        <v>1.0</v>
      </c>
      <c r="G1035" s="15">
        <v>2007.0</v>
      </c>
    </row>
    <row r="1036" ht="15.75" customHeight="1">
      <c r="A1036" s="15" t="s">
        <v>1383</v>
      </c>
      <c r="B1036" s="15">
        <v>1.0</v>
      </c>
      <c r="C1036" s="15">
        <v>1.0</v>
      </c>
      <c r="D1036" s="15">
        <v>0.25</v>
      </c>
      <c r="E1036" s="15">
        <v>3.0</v>
      </c>
      <c r="F1036" s="15">
        <v>1.0</v>
      </c>
      <c r="G1036" s="15">
        <v>2021.0</v>
      </c>
    </row>
    <row r="1037" ht="15.75" customHeight="1">
      <c r="A1037" s="15" t="s">
        <v>1384</v>
      </c>
      <c r="B1037" s="15">
        <v>1.0</v>
      </c>
      <c r="C1037" s="15">
        <v>1.0</v>
      </c>
      <c r="D1037" s="15">
        <v>0.0666666666666667</v>
      </c>
      <c r="E1037" s="15">
        <v>4.0</v>
      </c>
      <c r="F1037" s="15">
        <v>1.0</v>
      </c>
      <c r="G1037" s="15">
        <v>2010.0</v>
      </c>
    </row>
    <row r="1038" ht="15.75" customHeight="1">
      <c r="A1038" s="15" t="s">
        <v>1385</v>
      </c>
      <c r="B1038" s="15">
        <v>1.0</v>
      </c>
      <c r="C1038" s="15">
        <v>1.0</v>
      </c>
      <c r="D1038" s="15">
        <v>0.166666666666667</v>
      </c>
      <c r="E1038" s="15">
        <v>2.0</v>
      </c>
      <c r="F1038" s="15">
        <v>1.0</v>
      </c>
      <c r="G1038" s="15">
        <v>2019.0</v>
      </c>
    </row>
    <row r="1039" ht="15.75" customHeight="1">
      <c r="A1039" s="15" t="s">
        <v>1386</v>
      </c>
      <c r="B1039" s="15">
        <v>1.0</v>
      </c>
      <c r="C1039" s="15">
        <v>1.0</v>
      </c>
      <c r="D1039" s="15">
        <v>1.0</v>
      </c>
      <c r="E1039" s="15">
        <v>1.0</v>
      </c>
      <c r="F1039" s="15">
        <v>1.0</v>
      </c>
      <c r="G1039" s="15">
        <v>2024.0</v>
      </c>
    </row>
    <row r="1040" ht="15.75" customHeight="1">
      <c r="A1040" s="15" t="s">
        <v>1387</v>
      </c>
      <c r="B1040" s="15">
        <v>1.0</v>
      </c>
      <c r="C1040" s="15">
        <v>1.0</v>
      </c>
      <c r="D1040" s="15">
        <v>0.333333333333333</v>
      </c>
      <c r="E1040" s="15">
        <v>10.0</v>
      </c>
      <c r="F1040" s="15">
        <v>1.0</v>
      </c>
      <c r="G1040" s="15">
        <v>2022.0</v>
      </c>
    </row>
    <row r="1041" ht="15.75" customHeight="1">
      <c r="A1041" s="15" t="s">
        <v>1388</v>
      </c>
      <c r="B1041" s="15">
        <v>1.0</v>
      </c>
      <c r="C1041" s="15">
        <v>1.0</v>
      </c>
      <c r="D1041" s="15">
        <v>1.0</v>
      </c>
      <c r="E1041" s="15">
        <v>1.0</v>
      </c>
      <c r="F1041" s="15">
        <v>1.0</v>
      </c>
      <c r="G1041" s="15">
        <v>2024.0</v>
      </c>
    </row>
    <row r="1042" ht="15.75" customHeight="1">
      <c r="A1042" s="15" t="s">
        <v>1389</v>
      </c>
      <c r="B1042" s="15">
        <v>1.0</v>
      </c>
      <c r="C1042" s="15">
        <v>1.0</v>
      </c>
      <c r="D1042" s="15">
        <v>0.2</v>
      </c>
      <c r="E1042" s="15">
        <v>51.0</v>
      </c>
      <c r="F1042" s="15">
        <v>1.0</v>
      </c>
      <c r="G1042" s="15">
        <v>2020.0</v>
      </c>
    </row>
    <row r="1043" ht="15.75" customHeight="1">
      <c r="A1043" s="15" t="s">
        <v>1390</v>
      </c>
      <c r="B1043" s="15">
        <v>1.0</v>
      </c>
      <c r="C1043" s="15">
        <v>1.0</v>
      </c>
      <c r="D1043" s="15">
        <v>0.333333333333333</v>
      </c>
      <c r="E1043" s="15">
        <v>4.0</v>
      </c>
      <c r="F1043" s="15">
        <v>1.0</v>
      </c>
      <c r="G1043" s="15">
        <v>2022.0</v>
      </c>
    </row>
    <row r="1044" ht="15.75" customHeight="1">
      <c r="A1044" s="15" t="s">
        <v>1391</v>
      </c>
      <c r="B1044" s="15">
        <v>1.0</v>
      </c>
      <c r="C1044" s="15">
        <v>1.0</v>
      </c>
      <c r="D1044" s="15">
        <v>0.0714285714285714</v>
      </c>
      <c r="E1044" s="15">
        <v>12.0</v>
      </c>
      <c r="F1044" s="15">
        <v>1.0</v>
      </c>
      <c r="G1044" s="15">
        <v>2011.0</v>
      </c>
    </row>
    <row r="1045" ht="15.75" customHeight="1">
      <c r="A1045" s="15" t="s">
        <v>1392</v>
      </c>
      <c r="B1045" s="15">
        <v>1.0</v>
      </c>
      <c r="C1045" s="15">
        <v>1.0</v>
      </c>
      <c r="D1045" s="15">
        <v>0.5</v>
      </c>
      <c r="E1045" s="15">
        <v>2.0</v>
      </c>
      <c r="F1045" s="15">
        <v>1.0</v>
      </c>
      <c r="G1045" s="15">
        <v>2023.0</v>
      </c>
    </row>
  </sheetData>
  <autoFilter ref="$A$1:$Z$1045">
    <sortState ref="A1:Z1045">
      <sortCondition descending="1" ref="F1:F1045"/>
      <sortCondition descending="1" ref="B1:B1045"/>
    </sortState>
  </autoFilter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33" width="10.71"/>
  </cols>
  <sheetData>
    <row r="1">
      <c r="A1" s="1" t="s">
        <v>1393</v>
      </c>
      <c r="B1" s="1" t="s">
        <v>1394</v>
      </c>
    </row>
    <row r="2">
      <c r="A2" s="1" t="s">
        <v>1395</v>
      </c>
      <c r="B2" s="1" t="s">
        <v>1396</v>
      </c>
    </row>
    <row r="3">
      <c r="A3" s="1" t="s">
        <v>1397</v>
      </c>
      <c r="B3" s="1" t="s">
        <v>1398</v>
      </c>
    </row>
    <row r="4">
      <c r="A4" s="1" t="s">
        <v>1399</v>
      </c>
      <c r="B4" s="1" t="s">
        <v>46</v>
      </c>
    </row>
    <row r="5">
      <c r="A5" s="1" t="s">
        <v>1400</v>
      </c>
      <c r="B5" s="1" t="s">
        <v>39</v>
      </c>
    </row>
    <row r="6">
      <c r="A6" s="1" t="s">
        <v>1401</v>
      </c>
      <c r="B6" s="1" t="s">
        <v>1402</v>
      </c>
    </row>
    <row r="7">
      <c r="A7" s="1" t="s">
        <v>1403</v>
      </c>
      <c r="B7" s="1" t="s">
        <v>1404</v>
      </c>
    </row>
    <row r="8">
      <c r="A8" s="1" t="s">
        <v>1405</v>
      </c>
      <c r="B8" s="1" t="s">
        <v>1406</v>
      </c>
    </row>
    <row r="9">
      <c r="A9" s="1" t="s">
        <v>1407</v>
      </c>
      <c r="B9" s="1" t="s">
        <v>10</v>
      </c>
    </row>
    <row r="10">
      <c r="A10" s="1" t="s">
        <v>1408</v>
      </c>
      <c r="B10" s="1" t="s">
        <v>1402</v>
      </c>
    </row>
    <row r="11">
      <c r="A11" s="1" t="s">
        <v>1409</v>
      </c>
      <c r="B11" s="1" t="s">
        <v>1410</v>
      </c>
    </row>
    <row r="14">
      <c r="A14" s="1" t="s">
        <v>1411</v>
      </c>
      <c r="B14" s="1" t="s">
        <v>1412</v>
      </c>
      <c r="C14" s="1" t="s">
        <v>1413</v>
      </c>
      <c r="D14" s="1" t="s">
        <v>1414</v>
      </c>
      <c r="E14" s="1" t="s">
        <v>1415</v>
      </c>
      <c r="F14" s="1" t="s">
        <v>1416</v>
      </c>
      <c r="G14" s="1" t="s">
        <v>1417</v>
      </c>
    </row>
    <row r="15">
      <c r="A15" s="1">
        <v>96.0</v>
      </c>
      <c r="B15" s="1" t="s">
        <v>1418</v>
      </c>
      <c r="C15" s="1">
        <v>1.0</v>
      </c>
      <c r="D15" s="1" t="s">
        <v>1418</v>
      </c>
      <c r="E15" s="1">
        <v>7019.3151696264</v>
      </c>
      <c r="F15" s="1">
        <v>0.00193050193050193</v>
      </c>
      <c r="G15" s="1">
        <v>0.0637200336885076</v>
      </c>
    </row>
    <row r="16">
      <c r="A16" s="1">
        <v>16.0</v>
      </c>
      <c r="B16" s="1" t="s">
        <v>1419</v>
      </c>
      <c r="C16" s="1">
        <v>1.0</v>
      </c>
      <c r="D16" s="1" t="s">
        <v>1418</v>
      </c>
      <c r="E16" s="1">
        <v>1344.7486206174</v>
      </c>
      <c r="F16" s="1">
        <v>0.00151975683890578</v>
      </c>
      <c r="G16" s="1">
        <v>0.016790400995827</v>
      </c>
    </row>
    <row r="17">
      <c r="A17" s="1">
        <v>14.0</v>
      </c>
      <c r="B17" s="1" t="s">
        <v>1420</v>
      </c>
      <c r="C17" s="1">
        <v>1.0</v>
      </c>
      <c r="D17" s="1" t="s">
        <v>1418</v>
      </c>
      <c r="E17" s="1">
        <v>621.60306477186</v>
      </c>
      <c r="F17" s="1">
        <v>0.00157728706624606</v>
      </c>
      <c r="G17" s="1">
        <v>0.0109580887374923</v>
      </c>
    </row>
    <row r="18">
      <c r="A18" s="1">
        <v>11.0</v>
      </c>
      <c r="B18" s="1" t="s">
        <v>1421</v>
      </c>
      <c r="C18" s="1">
        <v>1.0</v>
      </c>
      <c r="D18" s="1" t="s">
        <v>1418</v>
      </c>
      <c r="E18" s="1">
        <v>820.171681514116</v>
      </c>
      <c r="F18" s="1">
        <v>0.00146627565982405</v>
      </c>
      <c r="G18" s="1">
        <v>0.0118255174742953</v>
      </c>
    </row>
    <row r="19">
      <c r="A19" s="1">
        <v>7.0</v>
      </c>
      <c r="B19" s="1" t="s">
        <v>1422</v>
      </c>
      <c r="C19" s="1">
        <v>1.0</v>
      </c>
      <c r="D19" s="1" t="s">
        <v>1418</v>
      </c>
      <c r="E19" s="1">
        <v>308.054743259365</v>
      </c>
      <c r="F19" s="1">
        <v>0.00149700598802395</v>
      </c>
      <c r="G19" s="1">
        <v>0.00480460776747327</v>
      </c>
    </row>
    <row r="20">
      <c r="A20" s="1">
        <v>7.0</v>
      </c>
      <c r="B20" s="1" t="s">
        <v>1423</v>
      </c>
      <c r="C20" s="1">
        <v>1.0</v>
      </c>
      <c r="D20" s="1" t="s">
        <v>1418</v>
      </c>
      <c r="E20" s="1">
        <v>650.832593809672</v>
      </c>
      <c r="F20" s="1">
        <v>0.00165289256198347</v>
      </c>
      <c r="G20" s="1">
        <v>0.00651087341050571</v>
      </c>
    </row>
    <row r="21" ht="15.75" customHeight="1">
      <c r="A21" s="1">
        <v>6.0</v>
      </c>
      <c r="B21" s="1" t="s">
        <v>1424</v>
      </c>
      <c r="C21" s="1">
        <v>1.0</v>
      </c>
      <c r="D21" s="1" t="s">
        <v>1418</v>
      </c>
      <c r="E21" s="1">
        <v>210.208692283406</v>
      </c>
      <c r="F21" s="1">
        <v>0.0013531799729364</v>
      </c>
      <c r="G21" s="1">
        <v>0.00526557913475233</v>
      </c>
    </row>
    <row r="22" ht="15.75" customHeight="1">
      <c r="A22" s="1">
        <v>6.0</v>
      </c>
      <c r="B22" s="1" t="s">
        <v>1425</v>
      </c>
      <c r="C22" s="1">
        <v>1.0</v>
      </c>
      <c r="D22" s="1" t="s">
        <v>1418</v>
      </c>
      <c r="E22" s="1">
        <v>170.882067743368</v>
      </c>
      <c r="F22" s="1">
        <v>0.00142857142857143</v>
      </c>
      <c r="G22" s="1">
        <v>0.00586906073286032</v>
      </c>
    </row>
    <row r="23" ht="15.75" customHeight="1">
      <c r="A23" s="1">
        <v>5.0</v>
      </c>
      <c r="B23" s="1" t="s">
        <v>1426</v>
      </c>
      <c r="C23" s="1">
        <v>1.0</v>
      </c>
      <c r="D23" s="1" t="s">
        <v>1418</v>
      </c>
      <c r="E23" s="1">
        <v>16.7848850189675</v>
      </c>
      <c r="F23" s="1">
        <v>0.00102040816326531</v>
      </c>
      <c r="G23" s="1">
        <v>0.00242790696546162</v>
      </c>
    </row>
    <row r="24" ht="15.75" customHeight="1">
      <c r="A24" s="1">
        <v>5.0</v>
      </c>
      <c r="B24" s="1" t="s">
        <v>1427</v>
      </c>
      <c r="C24" s="1">
        <v>1.0</v>
      </c>
      <c r="D24" s="1" t="s">
        <v>1418</v>
      </c>
      <c r="E24" s="1">
        <v>26.3057735504274</v>
      </c>
      <c r="F24" s="1">
        <v>0.0012853470437018</v>
      </c>
      <c r="G24" s="1">
        <v>0.00336414283997813</v>
      </c>
    </row>
    <row r="25" ht="15.75" customHeight="1">
      <c r="A25" s="1">
        <v>5.0</v>
      </c>
      <c r="B25" s="1" t="s">
        <v>1428</v>
      </c>
      <c r="C25" s="1">
        <v>1.0</v>
      </c>
      <c r="D25" s="1" t="s">
        <v>1418</v>
      </c>
      <c r="E25" s="1">
        <v>540.176602636464</v>
      </c>
      <c r="F25" s="1">
        <v>0.00161550888529887</v>
      </c>
      <c r="G25" s="1">
        <v>0.00628496605165355</v>
      </c>
    </row>
    <row r="26" ht="15.75" customHeight="1">
      <c r="A26" s="1">
        <v>4.0</v>
      </c>
      <c r="B26" s="1" t="s">
        <v>1429</v>
      </c>
      <c r="C26" s="1">
        <v>1.0</v>
      </c>
      <c r="D26" s="1" t="s">
        <v>1418</v>
      </c>
      <c r="E26" s="1">
        <v>229.371907108301</v>
      </c>
      <c r="F26" s="1">
        <v>0.00144508670520231</v>
      </c>
      <c r="G26" s="1">
        <v>0.00525189769910484</v>
      </c>
    </row>
    <row r="27" ht="15.75" customHeight="1">
      <c r="A27" s="1">
        <v>4.0</v>
      </c>
      <c r="B27" s="1" t="s">
        <v>1430</v>
      </c>
      <c r="C27" s="1">
        <v>1.0</v>
      </c>
      <c r="D27" s="1" t="s">
        <v>1418</v>
      </c>
      <c r="E27" s="1">
        <v>45.2761614431549</v>
      </c>
      <c r="F27" s="1">
        <v>0.0012970168612192</v>
      </c>
      <c r="G27" s="1">
        <v>0.00234095481479731</v>
      </c>
    </row>
    <row r="28" ht="15.75" customHeight="1">
      <c r="A28" s="1">
        <v>4.0</v>
      </c>
      <c r="B28" s="1" t="s">
        <v>1431</v>
      </c>
      <c r="C28" s="1">
        <v>1.0</v>
      </c>
      <c r="D28" s="1" t="s">
        <v>1418</v>
      </c>
      <c r="E28" s="1">
        <v>409.822125067634</v>
      </c>
      <c r="F28" s="1">
        <v>0.00167224080267559</v>
      </c>
      <c r="G28" s="1">
        <v>0.00409950995537276</v>
      </c>
    </row>
    <row r="29" ht="15.75" customHeight="1">
      <c r="A29" s="1">
        <v>4.0</v>
      </c>
      <c r="B29" s="1" t="s">
        <v>1432</v>
      </c>
      <c r="C29" s="1">
        <v>1.0</v>
      </c>
      <c r="D29" s="1" t="s">
        <v>1418</v>
      </c>
      <c r="E29" s="1">
        <v>68.2604198701876</v>
      </c>
      <c r="F29" s="1">
        <v>0.00119047619047619</v>
      </c>
      <c r="G29" s="1">
        <v>0.00452695845620168</v>
      </c>
    </row>
    <row r="30" ht="15.75" customHeight="1">
      <c r="A30" s="1">
        <v>4.0</v>
      </c>
      <c r="B30" s="1" t="s">
        <v>1433</v>
      </c>
      <c r="C30" s="1">
        <v>1.0</v>
      </c>
      <c r="D30" s="1" t="s">
        <v>1418</v>
      </c>
      <c r="E30" s="1">
        <v>71.6020292424639</v>
      </c>
      <c r="F30" s="1">
        <v>0.00143884892086331</v>
      </c>
      <c r="G30" s="1">
        <v>0.00367082071927508</v>
      </c>
    </row>
    <row r="31" ht="15.75" customHeight="1">
      <c r="A31" s="1">
        <v>4.0</v>
      </c>
      <c r="B31" s="1" t="s">
        <v>1434</v>
      </c>
      <c r="C31" s="1">
        <v>1.0</v>
      </c>
      <c r="D31" s="1" t="s">
        <v>1418</v>
      </c>
      <c r="E31" s="1">
        <v>88.0045077879594</v>
      </c>
      <c r="F31" s="1">
        <v>0.0013531799729364</v>
      </c>
      <c r="G31" s="1">
        <v>0.00321408201610265</v>
      </c>
    </row>
    <row r="32" ht="15.75" customHeight="1">
      <c r="A32" s="1">
        <v>4.0</v>
      </c>
      <c r="B32" s="1" t="s">
        <v>1435</v>
      </c>
      <c r="C32" s="1">
        <v>1.0</v>
      </c>
      <c r="D32" s="1" t="s">
        <v>1418</v>
      </c>
      <c r="E32" s="1">
        <v>55.3789671004445</v>
      </c>
      <c r="F32" s="1">
        <v>0.00141043723554302</v>
      </c>
      <c r="G32" s="1">
        <v>0.00435450441955682</v>
      </c>
    </row>
    <row r="33" ht="15.75" customHeight="1">
      <c r="A33" s="1">
        <v>4.0</v>
      </c>
      <c r="B33" s="1" t="s">
        <v>1436</v>
      </c>
      <c r="C33" s="1">
        <v>1.0</v>
      </c>
      <c r="D33" s="1" t="s">
        <v>1418</v>
      </c>
      <c r="E33" s="1">
        <v>22.8457294349272</v>
      </c>
      <c r="F33" s="1">
        <v>0.00125944584382872</v>
      </c>
      <c r="G33" s="1">
        <v>0.00328474634614299</v>
      </c>
    </row>
    <row r="34" ht="15.75" customHeight="1">
      <c r="A34" s="1">
        <v>4.0</v>
      </c>
      <c r="B34" s="1" t="s">
        <v>1437</v>
      </c>
      <c r="C34" s="1">
        <v>1.0</v>
      </c>
      <c r="D34" s="1" t="s">
        <v>1418</v>
      </c>
      <c r="E34" s="1">
        <v>233.720341486864</v>
      </c>
      <c r="F34" s="1">
        <v>0.00152671755725191</v>
      </c>
      <c r="G34" s="1">
        <v>0.00492833374590266</v>
      </c>
    </row>
    <row r="35" ht="15.75" customHeight="1">
      <c r="A35" s="1">
        <v>3.0</v>
      </c>
      <c r="B35" s="1" t="s">
        <v>1438</v>
      </c>
      <c r="C35" s="1">
        <v>1.0</v>
      </c>
      <c r="D35" s="1" t="s">
        <v>1418</v>
      </c>
      <c r="E35" s="1">
        <v>0.0</v>
      </c>
      <c r="F35" s="1">
        <v>0.00108225108225108</v>
      </c>
      <c r="G35" s="1">
        <v>9.44812426002088E-4</v>
      </c>
    </row>
    <row r="36" ht="15.75" customHeight="1">
      <c r="A36" s="1">
        <v>3.0</v>
      </c>
      <c r="B36" s="1" t="s">
        <v>1439</v>
      </c>
      <c r="C36" s="1">
        <v>1.0</v>
      </c>
      <c r="D36" s="1" t="s">
        <v>1418</v>
      </c>
      <c r="E36" s="1">
        <v>327.758665733198</v>
      </c>
      <c r="F36" s="1">
        <v>0.00149476831091181</v>
      </c>
      <c r="G36" s="1">
        <v>0.00379200271804905</v>
      </c>
    </row>
    <row r="37" ht="15.75" customHeight="1">
      <c r="A37" s="1">
        <v>3.0</v>
      </c>
      <c r="B37" s="1" t="s">
        <v>1440</v>
      </c>
      <c r="C37" s="1">
        <v>1.0</v>
      </c>
      <c r="D37" s="1" t="s">
        <v>1418</v>
      </c>
      <c r="E37" s="1">
        <v>99.2385167591532</v>
      </c>
      <c r="F37" s="1">
        <v>0.00143061516452074</v>
      </c>
      <c r="G37" s="1">
        <v>0.00467538457243953</v>
      </c>
    </row>
    <row r="38" ht="15.75" customHeight="1">
      <c r="A38" s="1">
        <v>3.0</v>
      </c>
      <c r="B38" s="1" t="s">
        <v>1441</v>
      </c>
      <c r="C38" s="1">
        <v>1.0</v>
      </c>
      <c r="D38" s="1" t="s">
        <v>1418</v>
      </c>
      <c r="E38" s="1">
        <v>22.9954292789596</v>
      </c>
      <c r="F38" s="1">
        <v>0.00127713920817369</v>
      </c>
      <c r="G38" s="1">
        <v>0.00355588498969305</v>
      </c>
    </row>
    <row r="39" ht="15.75" customHeight="1">
      <c r="A39" s="1">
        <v>3.0</v>
      </c>
      <c r="B39" s="1" t="s">
        <v>1442</v>
      </c>
      <c r="C39" s="1">
        <v>1.0</v>
      </c>
      <c r="D39" s="1" t="s">
        <v>1418</v>
      </c>
      <c r="E39" s="1">
        <v>327.971134544391</v>
      </c>
      <c r="F39" s="1">
        <v>0.0016366612111293</v>
      </c>
      <c r="G39" s="1">
        <v>0.00308063762931031</v>
      </c>
    </row>
    <row r="40" ht="15.75" customHeight="1">
      <c r="A40" s="1">
        <v>3.0</v>
      </c>
      <c r="B40" s="1" t="s">
        <v>1443</v>
      </c>
      <c r="C40" s="1">
        <v>1.0</v>
      </c>
      <c r="D40" s="1" t="s">
        <v>1418</v>
      </c>
      <c r="E40" s="1">
        <v>73.1915332656816</v>
      </c>
      <c r="F40" s="1">
        <v>0.00122699386503067</v>
      </c>
      <c r="G40" s="1">
        <v>0.00313033339100704</v>
      </c>
    </row>
    <row r="41" ht="15.75" customHeight="1">
      <c r="A41" s="1">
        <v>3.0</v>
      </c>
      <c r="B41" s="1" t="s">
        <v>1444</v>
      </c>
      <c r="C41" s="1">
        <v>1.0</v>
      </c>
      <c r="D41" s="1" t="s">
        <v>1418</v>
      </c>
      <c r="E41" s="1">
        <v>26.2119854964525</v>
      </c>
      <c r="F41" s="1">
        <v>0.00127064803049555</v>
      </c>
      <c r="G41" s="1">
        <v>0.00428957227223891</v>
      </c>
    </row>
    <row r="42" ht="15.75" customHeight="1">
      <c r="A42" s="1">
        <v>3.0</v>
      </c>
      <c r="B42" s="1" t="s">
        <v>1445</v>
      </c>
      <c r="C42" s="1">
        <v>1.0</v>
      </c>
      <c r="D42" s="1" t="s">
        <v>1418</v>
      </c>
      <c r="E42" s="1">
        <v>72.4753460569295</v>
      </c>
      <c r="F42" s="1">
        <v>0.00139470013947001</v>
      </c>
      <c r="G42" s="1">
        <v>0.00427937548507993</v>
      </c>
    </row>
    <row r="43" ht="15.75" customHeight="1">
      <c r="A43" s="1">
        <v>2.0</v>
      </c>
      <c r="B43" s="1" t="s">
        <v>1446</v>
      </c>
      <c r="C43" s="1">
        <v>1.0</v>
      </c>
      <c r="D43" s="1" t="s">
        <v>1418</v>
      </c>
      <c r="E43" s="1">
        <v>0.0</v>
      </c>
      <c r="F43" s="1">
        <v>0.00112233445566779</v>
      </c>
      <c r="G43" s="1">
        <v>0.00135644749241499</v>
      </c>
    </row>
    <row r="44" ht="15.75" customHeight="1">
      <c r="A44" s="1">
        <v>2.0</v>
      </c>
      <c r="B44" s="1" t="s">
        <v>1447</v>
      </c>
      <c r="C44" s="1">
        <v>1.0</v>
      </c>
      <c r="D44" s="1" t="s">
        <v>1418</v>
      </c>
      <c r="E44" s="1">
        <v>368.493033629622</v>
      </c>
      <c r="F44" s="1">
        <v>0.00164744645799012</v>
      </c>
      <c r="G44" s="1">
        <v>0.00307121289354818</v>
      </c>
    </row>
    <row r="45" ht="15.75" customHeight="1">
      <c r="A45" s="1">
        <v>2.0</v>
      </c>
      <c r="B45" s="1" t="s">
        <v>1448</v>
      </c>
      <c r="C45" s="1">
        <v>1.0</v>
      </c>
      <c r="D45" s="1" t="s">
        <v>1418</v>
      </c>
      <c r="E45" s="1">
        <v>42.0168541546173</v>
      </c>
      <c r="F45" s="1">
        <v>0.00143472022955524</v>
      </c>
      <c r="G45" s="1">
        <v>0.00197001618119884</v>
      </c>
    </row>
    <row r="46" ht="15.75" customHeight="1">
      <c r="A46" s="1">
        <v>2.0</v>
      </c>
      <c r="B46" s="1" t="s">
        <v>1449</v>
      </c>
      <c r="C46" s="1">
        <v>1.0</v>
      </c>
      <c r="D46" s="1" t="s">
        <v>1418</v>
      </c>
      <c r="E46" s="1">
        <v>100.377134658154</v>
      </c>
      <c r="F46" s="1">
        <v>0.00142045454545455</v>
      </c>
      <c r="G46" s="1">
        <v>0.00246508201810769</v>
      </c>
    </row>
    <row r="47" ht="15.75" customHeight="1">
      <c r="A47" s="1">
        <v>2.0</v>
      </c>
      <c r="B47" s="1" t="s">
        <v>1450</v>
      </c>
      <c r="C47" s="1">
        <v>1.0</v>
      </c>
      <c r="D47" s="1" t="s">
        <v>1418</v>
      </c>
      <c r="E47" s="1">
        <v>0.0</v>
      </c>
      <c r="F47" s="1">
        <v>0.00120192307692308</v>
      </c>
      <c r="G47" s="1">
        <v>0.00227190343745731</v>
      </c>
    </row>
    <row r="48" ht="15.75" customHeight="1">
      <c r="A48" s="1">
        <v>2.0</v>
      </c>
      <c r="B48" s="1" t="s">
        <v>1451</v>
      </c>
      <c r="C48" s="1">
        <v>1.0</v>
      </c>
      <c r="D48" s="1" t="s">
        <v>1418</v>
      </c>
      <c r="E48" s="1">
        <v>3.0238455988456</v>
      </c>
      <c r="F48" s="1">
        <v>0.00141043723554302</v>
      </c>
      <c r="G48" s="1">
        <v>0.00269009663994195</v>
      </c>
    </row>
    <row r="49" ht="15.75" customHeight="1">
      <c r="A49" s="1">
        <v>2.0</v>
      </c>
      <c r="B49" s="1" t="s">
        <v>1452</v>
      </c>
      <c r="C49" s="1">
        <v>1.0</v>
      </c>
      <c r="D49" s="1" t="s">
        <v>1418</v>
      </c>
      <c r="E49" s="1">
        <v>0.0</v>
      </c>
      <c r="F49" s="1">
        <v>0.00105374077976818</v>
      </c>
      <c r="G49" s="1">
        <v>0.00231916782590818</v>
      </c>
    </row>
    <row r="50" ht="15.75" customHeight="1">
      <c r="A50" s="1">
        <v>2.0</v>
      </c>
      <c r="B50" s="1" t="s">
        <v>1453</v>
      </c>
      <c r="C50" s="1">
        <v>1.0</v>
      </c>
      <c r="D50" s="1" t="s">
        <v>1418</v>
      </c>
      <c r="E50" s="1">
        <v>0.0</v>
      </c>
      <c r="F50" s="1">
        <v>0.00131926121372032</v>
      </c>
      <c r="G50" s="1">
        <v>0.00270272078315139</v>
      </c>
    </row>
    <row r="51" ht="15.75" customHeight="1">
      <c r="A51" s="1">
        <v>2.0</v>
      </c>
      <c r="B51" s="1" t="s">
        <v>1454</v>
      </c>
      <c r="C51" s="1">
        <v>1.0</v>
      </c>
      <c r="D51" s="1" t="s">
        <v>1418</v>
      </c>
      <c r="E51" s="1">
        <v>22.5436072261072</v>
      </c>
      <c r="F51" s="1">
        <v>0.00133868808567604</v>
      </c>
      <c r="G51" s="1">
        <v>0.00143153252046925</v>
      </c>
    </row>
    <row r="52" ht="15.75" customHeight="1">
      <c r="A52" s="1">
        <v>2.0</v>
      </c>
      <c r="B52" s="1" t="s">
        <v>1455</v>
      </c>
      <c r="C52" s="1">
        <v>1.0</v>
      </c>
      <c r="D52" s="1" t="s">
        <v>1418</v>
      </c>
      <c r="E52" s="1">
        <v>44.7117414226344</v>
      </c>
      <c r="F52" s="1">
        <v>0.00134408602150538</v>
      </c>
      <c r="G52" s="1">
        <v>0.00195922335728241</v>
      </c>
    </row>
    <row r="53" ht="15.75" customHeight="1">
      <c r="A53" s="1">
        <v>2.0</v>
      </c>
      <c r="B53" s="1" t="s">
        <v>1456</v>
      </c>
      <c r="C53" s="1">
        <v>1.0</v>
      </c>
      <c r="D53" s="1" t="s">
        <v>1418</v>
      </c>
      <c r="E53" s="1">
        <v>14.8779733995625</v>
      </c>
      <c r="F53" s="1">
        <v>0.00121654501216545</v>
      </c>
      <c r="G53" s="1">
        <v>0.00231411209619975</v>
      </c>
    </row>
    <row r="54" ht="15.75" customHeight="1">
      <c r="A54" s="1">
        <v>2.0</v>
      </c>
      <c r="B54" s="1" t="s">
        <v>1457</v>
      </c>
      <c r="C54" s="1">
        <v>1.0</v>
      </c>
      <c r="D54" s="1" t="s">
        <v>1418</v>
      </c>
      <c r="E54" s="1">
        <v>104.19915001541</v>
      </c>
      <c r="F54" s="1">
        <v>0.00151975683890578</v>
      </c>
      <c r="G54" s="1">
        <v>0.00232758419429388</v>
      </c>
    </row>
    <row r="55" ht="15.75" customHeight="1">
      <c r="A55" s="1">
        <v>2.0</v>
      </c>
      <c r="B55" s="1" t="s">
        <v>1458</v>
      </c>
      <c r="C55" s="1">
        <v>1.0</v>
      </c>
      <c r="D55" s="1" t="s">
        <v>1418</v>
      </c>
      <c r="E55" s="1">
        <v>54.7236850871591</v>
      </c>
      <c r="F55" s="1">
        <v>0.00139470013947001</v>
      </c>
      <c r="G55" s="1">
        <v>0.00285559854085658</v>
      </c>
    </row>
    <row r="56" ht="15.75" customHeight="1">
      <c r="A56" s="1">
        <v>2.0</v>
      </c>
      <c r="B56" s="1" t="s">
        <v>1459</v>
      </c>
      <c r="C56" s="1">
        <v>1.0</v>
      </c>
      <c r="D56" s="1" t="s">
        <v>1418</v>
      </c>
      <c r="E56" s="1">
        <v>0.0</v>
      </c>
      <c r="F56" s="1">
        <v>0.00100603621730382</v>
      </c>
      <c r="G56" s="1">
        <v>0.00177433337724657</v>
      </c>
    </row>
    <row r="57" ht="15.75" customHeight="1">
      <c r="A57" s="1">
        <v>2.0</v>
      </c>
      <c r="B57" s="1" t="s">
        <v>1460</v>
      </c>
      <c r="C57" s="1">
        <v>1.0</v>
      </c>
      <c r="D57" s="1" t="s">
        <v>1418</v>
      </c>
      <c r="E57" s="1">
        <v>28.5186083309631</v>
      </c>
      <c r="F57" s="1">
        <v>0.0015625</v>
      </c>
      <c r="G57" s="1">
        <v>0.00193188693503128</v>
      </c>
    </row>
    <row r="58" ht="15.75" customHeight="1">
      <c r="A58" s="1">
        <v>2.0</v>
      </c>
      <c r="B58" s="1" t="s">
        <v>1461</v>
      </c>
      <c r="C58" s="1">
        <v>1.0</v>
      </c>
      <c r="D58" s="1" t="s">
        <v>1418</v>
      </c>
      <c r="E58" s="1">
        <v>0.0</v>
      </c>
      <c r="F58" s="1">
        <v>0.00116822429906542</v>
      </c>
      <c r="G58" s="1">
        <v>0.00143565788192449</v>
      </c>
    </row>
    <row r="59" ht="15.75" customHeight="1">
      <c r="A59" s="1">
        <v>2.0</v>
      </c>
      <c r="B59" s="1" t="s">
        <v>1462</v>
      </c>
      <c r="C59" s="1">
        <v>1.0</v>
      </c>
      <c r="D59" s="1" t="s">
        <v>1418</v>
      </c>
      <c r="E59" s="1">
        <v>154.903263121484</v>
      </c>
      <c r="F59" s="1">
        <v>0.00149476831091181</v>
      </c>
      <c r="G59" s="1">
        <v>0.00268463208969194</v>
      </c>
    </row>
    <row r="60" ht="15.75" customHeight="1">
      <c r="A60" s="1">
        <v>2.0</v>
      </c>
      <c r="B60" s="1" t="s">
        <v>1463</v>
      </c>
      <c r="C60" s="1">
        <v>1.0</v>
      </c>
      <c r="D60" s="1" t="s">
        <v>1418</v>
      </c>
      <c r="E60" s="1">
        <v>0.0</v>
      </c>
      <c r="F60" s="1">
        <v>0.00116009280742459</v>
      </c>
      <c r="G60" s="1">
        <v>0.00229782973384583</v>
      </c>
    </row>
    <row r="61" ht="15.75" customHeight="1">
      <c r="A61" s="1">
        <v>2.0</v>
      </c>
      <c r="B61" s="1" t="s">
        <v>1464</v>
      </c>
      <c r="C61" s="1">
        <v>1.0</v>
      </c>
      <c r="D61" s="1" t="s">
        <v>1418</v>
      </c>
      <c r="E61" s="1">
        <v>5.26366120203038</v>
      </c>
      <c r="F61" s="1">
        <v>0.00140449438202247</v>
      </c>
      <c r="G61" s="1">
        <v>0.00198414248404007</v>
      </c>
    </row>
    <row r="62" ht="15.75" customHeight="1">
      <c r="A62" s="1">
        <v>2.0</v>
      </c>
      <c r="B62" s="1" t="s">
        <v>1465</v>
      </c>
      <c r="C62" s="1">
        <v>1.0</v>
      </c>
      <c r="D62" s="1" t="s">
        <v>1418</v>
      </c>
      <c r="E62" s="1">
        <v>91.1063473064986</v>
      </c>
      <c r="F62" s="1">
        <v>0.00149925037481259</v>
      </c>
      <c r="G62" s="1">
        <v>0.00228762750818595</v>
      </c>
    </row>
    <row r="63" ht="15.75" customHeight="1">
      <c r="A63" s="1">
        <v>2.0</v>
      </c>
      <c r="B63" s="1" t="s">
        <v>1466</v>
      </c>
      <c r="C63" s="1">
        <v>1.0</v>
      </c>
      <c r="D63" s="1" t="s">
        <v>1418</v>
      </c>
      <c r="E63" s="1">
        <v>1.03601727019044</v>
      </c>
      <c r="F63" s="1">
        <v>0.00116279069767442</v>
      </c>
      <c r="G63" s="1">
        <v>0.00194326990168461</v>
      </c>
    </row>
    <row r="64" ht="15.75" customHeight="1">
      <c r="A64" s="1">
        <v>2.0</v>
      </c>
      <c r="B64" s="1" t="s">
        <v>1467</v>
      </c>
      <c r="C64" s="1">
        <v>1.0</v>
      </c>
      <c r="D64" s="1" t="s">
        <v>1418</v>
      </c>
      <c r="E64" s="1">
        <v>25.3880586263565</v>
      </c>
      <c r="F64" s="1">
        <v>0.00136986301369863</v>
      </c>
      <c r="G64" s="1">
        <v>0.00213431240276317</v>
      </c>
    </row>
    <row r="65" ht="15.75" customHeight="1">
      <c r="A65" s="1">
        <v>2.0</v>
      </c>
      <c r="B65" s="1" t="s">
        <v>1468</v>
      </c>
      <c r="C65" s="1">
        <v>1.0</v>
      </c>
      <c r="D65" s="1" t="s">
        <v>1418</v>
      </c>
      <c r="E65" s="1">
        <v>80.9397765706746</v>
      </c>
      <c r="F65" s="1">
        <v>0.00136798905608755</v>
      </c>
      <c r="G65" s="1">
        <v>0.00228751082316359</v>
      </c>
    </row>
    <row r="66" ht="15.75" customHeight="1">
      <c r="A66" s="1">
        <v>75.0</v>
      </c>
      <c r="B66" s="1" t="s">
        <v>1469</v>
      </c>
      <c r="C66" s="1">
        <v>2.0</v>
      </c>
      <c r="D66" s="1" t="s">
        <v>1469</v>
      </c>
      <c r="E66" s="1">
        <v>6909.57894755758</v>
      </c>
      <c r="F66" s="1">
        <v>0.00188679245283019</v>
      </c>
      <c r="G66" s="1">
        <v>0.0521897947631854</v>
      </c>
    </row>
    <row r="67" ht="15.75" customHeight="1">
      <c r="A67" s="1">
        <v>31.0</v>
      </c>
      <c r="B67" s="1" t="s">
        <v>1470</v>
      </c>
      <c r="C67" s="1">
        <v>2.0</v>
      </c>
      <c r="D67" s="1" t="s">
        <v>1469</v>
      </c>
      <c r="E67" s="1">
        <v>2409.05825558639</v>
      </c>
      <c r="F67" s="1">
        <v>0.00160771704180064</v>
      </c>
      <c r="G67" s="1">
        <v>0.0275910513741944</v>
      </c>
    </row>
    <row r="68" ht="15.75" customHeight="1">
      <c r="A68" s="1">
        <v>12.0</v>
      </c>
      <c r="B68" s="1" t="s">
        <v>1471</v>
      </c>
      <c r="C68" s="1">
        <v>2.0</v>
      </c>
      <c r="D68" s="1" t="s">
        <v>1469</v>
      </c>
      <c r="E68" s="1">
        <v>1047.07744735496</v>
      </c>
      <c r="F68" s="1">
        <v>0.00161550888529887</v>
      </c>
      <c r="G68" s="1">
        <v>0.0129521684736357</v>
      </c>
    </row>
    <row r="69" ht="15.75" customHeight="1">
      <c r="A69" s="1">
        <v>8.0</v>
      </c>
      <c r="B69" s="1" t="s">
        <v>1472</v>
      </c>
      <c r="C69" s="1">
        <v>2.0</v>
      </c>
      <c r="D69" s="1" t="s">
        <v>1469</v>
      </c>
      <c r="E69" s="1">
        <v>312.857982756337</v>
      </c>
      <c r="F69" s="1">
        <v>0.00143472022955524</v>
      </c>
      <c r="G69" s="1">
        <v>0.00739384366755664</v>
      </c>
    </row>
    <row r="70" ht="15.75" customHeight="1">
      <c r="A70" s="1">
        <v>6.0</v>
      </c>
      <c r="B70" s="1" t="s">
        <v>1473</v>
      </c>
      <c r="C70" s="1">
        <v>2.0</v>
      </c>
      <c r="D70" s="1" t="s">
        <v>1469</v>
      </c>
      <c r="E70" s="1">
        <v>120.789104848838</v>
      </c>
      <c r="F70" s="1">
        <v>0.00138504155124654</v>
      </c>
      <c r="G70" s="1">
        <v>0.00558336871848825</v>
      </c>
    </row>
    <row r="71" ht="15.75" customHeight="1">
      <c r="A71" s="1">
        <v>4.0</v>
      </c>
      <c r="B71" s="1" t="s">
        <v>1474</v>
      </c>
      <c r="C71" s="1">
        <v>2.0</v>
      </c>
      <c r="D71" s="1" t="s">
        <v>1469</v>
      </c>
      <c r="E71" s="1">
        <v>295.987162679363</v>
      </c>
      <c r="F71" s="1">
        <v>0.00147710487444609</v>
      </c>
      <c r="G71" s="1">
        <v>0.00455249798293869</v>
      </c>
    </row>
    <row r="72" ht="15.75" customHeight="1">
      <c r="A72" s="1">
        <v>4.0</v>
      </c>
      <c r="B72" s="1" t="s">
        <v>1475</v>
      </c>
      <c r="C72" s="1">
        <v>2.0</v>
      </c>
      <c r="D72" s="1" t="s">
        <v>1469</v>
      </c>
      <c r="E72" s="1">
        <v>202.347704675569</v>
      </c>
      <c r="F72" s="1">
        <v>0.00147710487444609</v>
      </c>
      <c r="G72" s="1">
        <v>0.0051347601868764</v>
      </c>
    </row>
    <row r="73" ht="15.75" customHeight="1">
      <c r="A73" s="1">
        <v>3.0</v>
      </c>
      <c r="B73" s="1" t="s">
        <v>1476</v>
      </c>
      <c r="C73" s="1">
        <v>2.0</v>
      </c>
      <c r="D73" s="1" t="s">
        <v>1469</v>
      </c>
      <c r="E73" s="1">
        <v>5.96967517776341</v>
      </c>
      <c r="F73" s="1">
        <v>0.00121802679658952</v>
      </c>
      <c r="G73" s="1">
        <v>0.00281916068290565</v>
      </c>
    </row>
    <row r="74" ht="15.75" customHeight="1">
      <c r="A74" s="1">
        <v>3.0</v>
      </c>
      <c r="B74" s="1" t="s">
        <v>1477</v>
      </c>
      <c r="C74" s="1">
        <v>2.0</v>
      </c>
      <c r="D74" s="1" t="s">
        <v>1469</v>
      </c>
      <c r="E74" s="1">
        <v>16.1833731046802</v>
      </c>
      <c r="F74" s="1">
        <v>0.0013986013986014</v>
      </c>
      <c r="G74" s="1">
        <v>0.00323154449448276</v>
      </c>
    </row>
    <row r="75" ht="15.75" customHeight="1">
      <c r="A75" s="1">
        <v>3.0</v>
      </c>
      <c r="B75" s="1" t="s">
        <v>1478</v>
      </c>
      <c r="C75" s="1">
        <v>2.0</v>
      </c>
      <c r="D75" s="1" t="s">
        <v>1469</v>
      </c>
      <c r="E75" s="1">
        <v>33.3300463916632</v>
      </c>
      <c r="F75" s="1">
        <v>0.00134589502018843</v>
      </c>
      <c r="G75" s="1">
        <v>0.00376880909880111</v>
      </c>
    </row>
    <row r="76" ht="15.75" customHeight="1">
      <c r="A76" s="1">
        <v>3.0</v>
      </c>
      <c r="B76" s="1" t="s">
        <v>1479</v>
      </c>
      <c r="C76" s="1">
        <v>2.0</v>
      </c>
      <c r="D76" s="1" t="s">
        <v>1469</v>
      </c>
      <c r="E76" s="1">
        <v>252.712059789415</v>
      </c>
      <c r="F76" s="1">
        <v>0.00167224080267559</v>
      </c>
      <c r="G76" s="1">
        <v>0.00307615025983425</v>
      </c>
    </row>
    <row r="77" ht="15.75" customHeight="1">
      <c r="A77" s="1">
        <v>3.0</v>
      </c>
      <c r="B77" s="1" t="s">
        <v>1480</v>
      </c>
      <c r="C77" s="1">
        <v>2.0</v>
      </c>
      <c r="D77" s="1" t="s">
        <v>1469</v>
      </c>
      <c r="E77" s="1">
        <v>476.521147122378</v>
      </c>
      <c r="F77" s="1">
        <v>0.0013531799729364</v>
      </c>
      <c r="G77" s="1">
        <v>0.0039423371486256</v>
      </c>
    </row>
    <row r="78" ht="15.75" customHeight="1">
      <c r="A78" s="1">
        <v>3.0</v>
      </c>
      <c r="B78" s="1" t="s">
        <v>1481</v>
      </c>
      <c r="C78" s="1">
        <v>2.0</v>
      </c>
      <c r="D78" s="1" t="s">
        <v>1469</v>
      </c>
      <c r="E78" s="1">
        <v>15.3914088764885</v>
      </c>
      <c r="F78" s="1">
        <v>0.00137174211248285</v>
      </c>
      <c r="G78" s="1">
        <v>0.00272768604452076</v>
      </c>
    </row>
    <row r="79" ht="15.75" customHeight="1">
      <c r="A79" s="1">
        <v>2.0</v>
      </c>
      <c r="B79" s="1" t="s">
        <v>1482</v>
      </c>
      <c r="C79" s="1">
        <v>2.0</v>
      </c>
      <c r="D79" s="1" t="s">
        <v>1469</v>
      </c>
      <c r="E79" s="1">
        <v>92.2200209429141</v>
      </c>
      <c r="F79" s="1">
        <v>0.00153609831029186</v>
      </c>
      <c r="G79" s="1">
        <v>0.00222786168976423</v>
      </c>
    </row>
    <row r="80" ht="15.75" customHeight="1">
      <c r="A80" s="1">
        <v>2.0</v>
      </c>
      <c r="B80" s="1" t="s">
        <v>1483</v>
      </c>
      <c r="C80" s="1">
        <v>2.0</v>
      </c>
      <c r="D80" s="1" t="s">
        <v>1469</v>
      </c>
      <c r="E80" s="1">
        <v>15.1573655511155</v>
      </c>
      <c r="F80" s="1">
        <v>0.00124378109452736</v>
      </c>
      <c r="G80" s="1">
        <v>0.00167737431981154</v>
      </c>
    </row>
    <row r="81" ht="15.75" customHeight="1">
      <c r="A81" s="1">
        <v>2.0</v>
      </c>
      <c r="B81" s="1" t="s">
        <v>1484</v>
      </c>
      <c r="C81" s="1">
        <v>2.0</v>
      </c>
      <c r="D81" s="1" t="s">
        <v>1469</v>
      </c>
      <c r="E81" s="1">
        <v>58.6921450243228</v>
      </c>
      <c r="F81" s="1">
        <v>0.00157728706624606</v>
      </c>
      <c r="G81" s="1">
        <v>0.0015836126081344</v>
      </c>
    </row>
    <row r="82" ht="15.75" customHeight="1">
      <c r="A82" s="1">
        <v>2.0</v>
      </c>
      <c r="B82" s="1" t="s">
        <v>1485</v>
      </c>
      <c r="C82" s="1">
        <v>2.0</v>
      </c>
      <c r="D82" s="1" t="s">
        <v>1469</v>
      </c>
      <c r="E82" s="1">
        <v>0.0</v>
      </c>
      <c r="F82" s="1">
        <v>9.86193293885602E-4</v>
      </c>
      <c r="G82" s="1">
        <v>0.00125736668951502</v>
      </c>
    </row>
    <row r="83" ht="15.75" customHeight="1">
      <c r="A83" s="1">
        <v>2.0</v>
      </c>
      <c r="B83" s="1" t="s">
        <v>1486</v>
      </c>
      <c r="C83" s="1">
        <v>2.0</v>
      </c>
      <c r="D83" s="1" t="s">
        <v>1469</v>
      </c>
      <c r="E83" s="1">
        <v>79.2357079260169</v>
      </c>
      <c r="F83" s="1">
        <v>0.00122850122850123</v>
      </c>
      <c r="G83" s="1">
        <v>0.00262001621036882</v>
      </c>
    </row>
    <row r="84" ht="15.75" customHeight="1">
      <c r="A84" s="1">
        <v>2.0</v>
      </c>
      <c r="B84" s="1" t="s">
        <v>1487</v>
      </c>
      <c r="C84" s="1">
        <v>2.0</v>
      </c>
      <c r="D84" s="1" t="s">
        <v>1469</v>
      </c>
      <c r="E84" s="1">
        <v>7.71822092321356</v>
      </c>
      <c r="F84" s="1">
        <v>0.00141043723554302</v>
      </c>
      <c r="G84" s="1">
        <v>0.00161138890871928</v>
      </c>
    </row>
    <row r="85" ht="15.75" customHeight="1">
      <c r="A85" s="1">
        <v>2.0</v>
      </c>
      <c r="B85" s="1" t="s">
        <v>1488</v>
      </c>
      <c r="C85" s="1">
        <v>2.0</v>
      </c>
      <c r="D85" s="1" t="s">
        <v>1469</v>
      </c>
      <c r="E85" s="1">
        <v>115.546229697981</v>
      </c>
      <c r="F85" s="1">
        <v>0.00154559505409583</v>
      </c>
      <c r="G85" s="1">
        <v>0.00275919338349977</v>
      </c>
    </row>
    <row r="86" ht="15.75" customHeight="1">
      <c r="A86" s="1">
        <v>2.0</v>
      </c>
      <c r="B86" s="1" t="s">
        <v>1489</v>
      </c>
      <c r="C86" s="1">
        <v>2.0</v>
      </c>
      <c r="D86" s="1" t="s">
        <v>1469</v>
      </c>
      <c r="E86" s="1">
        <v>2.20311282900986</v>
      </c>
      <c r="F86" s="1">
        <v>0.00132802124833997</v>
      </c>
      <c r="G86" s="1">
        <v>0.00263639531476062</v>
      </c>
    </row>
    <row r="87" ht="15.75" customHeight="1">
      <c r="A87" s="1">
        <v>2.0</v>
      </c>
      <c r="B87" s="1" t="s">
        <v>1490</v>
      </c>
      <c r="C87" s="1">
        <v>2.0</v>
      </c>
      <c r="D87" s="1" t="s">
        <v>1469</v>
      </c>
      <c r="E87" s="1">
        <v>14.5208976821734</v>
      </c>
      <c r="F87" s="1">
        <v>0.00148588410104012</v>
      </c>
      <c r="G87" s="1">
        <v>0.00158655326207233</v>
      </c>
    </row>
    <row r="88" ht="15.75" customHeight="1">
      <c r="A88" s="1">
        <v>2.0</v>
      </c>
      <c r="B88" s="1" t="s">
        <v>1491</v>
      </c>
      <c r="C88" s="1">
        <v>2.0</v>
      </c>
      <c r="D88" s="1" t="s">
        <v>1469</v>
      </c>
      <c r="E88" s="1">
        <v>51.2886588503211</v>
      </c>
      <c r="F88" s="1">
        <v>0.00158478605388273</v>
      </c>
      <c r="G88" s="1">
        <v>0.0019829815700709</v>
      </c>
    </row>
    <row r="89" ht="15.75" customHeight="1">
      <c r="A89" s="1">
        <v>2.0</v>
      </c>
      <c r="B89" s="1" t="s">
        <v>1492</v>
      </c>
      <c r="C89" s="1">
        <v>2.0</v>
      </c>
      <c r="D89" s="1" t="s">
        <v>1469</v>
      </c>
      <c r="E89" s="1">
        <v>137.101056303241</v>
      </c>
      <c r="F89" s="1">
        <v>0.00162866449511401</v>
      </c>
      <c r="G89" s="1">
        <v>0.00326518459211629</v>
      </c>
    </row>
    <row r="90" ht="15.75" customHeight="1">
      <c r="A90" s="1">
        <v>2.0</v>
      </c>
      <c r="B90" s="1" t="s">
        <v>1493</v>
      </c>
      <c r="C90" s="1">
        <v>2.0</v>
      </c>
      <c r="D90" s="1" t="s">
        <v>1469</v>
      </c>
      <c r="E90" s="1">
        <v>57.6505710447165</v>
      </c>
      <c r="F90" s="1">
        <v>0.00131578947368421</v>
      </c>
      <c r="G90" s="1">
        <v>0.00325377465259367</v>
      </c>
    </row>
    <row r="91" ht="15.75" customHeight="1">
      <c r="A91" s="1">
        <v>2.0</v>
      </c>
      <c r="B91" s="1" t="s">
        <v>1494</v>
      </c>
      <c r="C91" s="1">
        <v>2.0</v>
      </c>
      <c r="D91" s="1" t="s">
        <v>1469</v>
      </c>
      <c r="E91" s="1">
        <v>76.3399466621178</v>
      </c>
      <c r="F91" s="1">
        <v>0.00146842878120411</v>
      </c>
      <c r="G91" s="1">
        <v>0.00271758745683773</v>
      </c>
    </row>
    <row r="92" ht="15.75" customHeight="1">
      <c r="A92" s="1">
        <v>2.0</v>
      </c>
      <c r="B92" s="1" t="s">
        <v>1495</v>
      </c>
      <c r="C92" s="1">
        <v>2.0</v>
      </c>
      <c r="D92" s="1" t="s">
        <v>1469</v>
      </c>
      <c r="E92" s="1">
        <v>92.9772036502116</v>
      </c>
      <c r="F92" s="1">
        <v>0.00156985871271586</v>
      </c>
      <c r="G92" s="1">
        <v>0.0023786546232262</v>
      </c>
    </row>
    <row r="93" ht="15.75" customHeight="1">
      <c r="A93" s="1">
        <v>2.0</v>
      </c>
      <c r="B93" s="1" t="s">
        <v>1496</v>
      </c>
      <c r="C93" s="1">
        <v>2.0</v>
      </c>
      <c r="D93" s="1" t="s">
        <v>1469</v>
      </c>
      <c r="E93" s="1">
        <v>137.101056303241</v>
      </c>
      <c r="F93" s="1">
        <v>0.00162866449511401</v>
      </c>
      <c r="G93" s="1">
        <v>0.00326518459211487</v>
      </c>
    </row>
    <row r="94" ht="15.75" customHeight="1">
      <c r="A94" s="1">
        <v>2.0</v>
      </c>
      <c r="B94" s="1" t="s">
        <v>1497</v>
      </c>
      <c r="C94" s="1">
        <v>2.0</v>
      </c>
      <c r="D94" s="1" t="s">
        <v>1469</v>
      </c>
      <c r="E94" s="1">
        <v>144.644571539992</v>
      </c>
      <c r="F94" s="1">
        <v>0.00160513643659711</v>
      </c>
      <c r="G94" s="1">
        <v>0.002636849237784</v>
      </c>
    </row>
    <row r="95" ht="15.75" customHeight="1">
      <c r="A95" s="1">
        <v>2.0</v>
      </c>
      <c r="B95" s="1" t="s">
        <v>1498</v>
      </c>
      <c r="C95" s="1">
        <v>2.0</v>
      </c>
      <c r="D95" s="1" t="s">
        <v>1469</v>
      </c>
      <c r="E95" s="1">
        <v>7.15968745921193</v>
      </c>
      <c r="F95" s="1">
        <v>0.00117924528301887</v>
      </c>
      <c r="G95" s="1">
        <v>0.00189689873041858</v>
      </c>
    </row>
    <row r="96" ht="15.75" customHeight="1">
      <c r="A96" s="1">
        <v>2.0</v>
      </c>
      <c r="B96" s="1" t="s">
        <v>1499</v>
      </c>
      <c r="C96" s="1">
        <v>2.0</v>
      </c>
      <c r="D96" s="1" t="s">
        <v>1469</v>
      </c>
      <c r="E96" s="1">
        <v>0.0</v>
      </c>
      <c r="F96" s="1">
        <v>0.00103950103950104</v>
      </c>
      <c r="G96" s="1">
        <v>0.00167560235788315</v>
      </c>
    </row>
    <row r="97" ht="15.75" customHeight="1">
      <c r="A97" s="1">
        <v>2.0</v>
      </c>
      <c r="B97" s="1" t="s">
        <v>1500</v>
      </c>
      <c r="C97" s="1">
        <v>2.0</v>
      </c>
      <c r="D97" s="1" t="s">
        <v>1469</v>
      </c>
      <c r="E97" s="1">
        <v>3.39174152813765</v>
      </c>
      <c r="F97" s="1">
        <v>0.00119904076738609</v>
      </c>
      <c r="G97" s="1">
        <v>0.00303593366555401</v>
      </c>
    </row>
    <row r="98" ht="15.75" customHeight="1">
      <c r="A98" s="1">
        <v>60.0</v>
      </c>
      <c r="B98" s="1" t="s">
        <v>1501</v>
      </c>
      <c r="C98" s="1">
        <v>3.0</v>
      </c>
      <c r="D98" s="1" t="s">
        <v>1501</v>
      </c>
      <c r="E98" s="1">
        <v>4973.70194351052</v>
      </c>
      <c r="F98" s="1">
        <v>0.00173611111111111</v>
      </c>
      <c r="G98" s="1">
        <v>0.0450432872278077</v>
      </c>
    </row>
    <row r="99" ht="15.75" customHeight="1">
      <c r="A99" s="1">
        <v>6.0</v>
      </c>
      <c r="B99" s="1" t="s">
        <v>1502</v>
      </c>
      <c r="C99" s="1">
        <v>3.0</v>
      </c>
      <c r="D99" s="1" t="s">
        <v>1501</v>
      </c>
      <c r="E99" s="1">
        <v>375.037738804835</v>
      </c>
      <c r="F99" s="1">
        <v>0.00150375939849624</v>
      </c>
      <c r="G99" s="1">
        <v>0.00609755917670607</v>
      </c>
    </row>
    <row r="100" ht="15.75" customHeight="1">
      <c r="A100" s="1">
        <v>6.0</v>
      </c>
      <c r="B100" s="1" t="s">
        <v>1503</v>
      </c>
      <c r="C100" s="1">
        <v>3.0</v>
      </c>
      <c r="D100" s="1" t="s">
        <v>1501</v>
      </c>
      <c r="E100" s="1">
        <v>732.320716352473</v>
      </c>
      <c r="F100" s="1">
        <v>0.00132978723404255</v>
      </c>
      <c r="G100" s="1">
        <v>0.00655141679454223</v>
      </c>
    </row>
    <row r="101" ht="15.75" customHeight="1">
      <c r="A101" s="1">
        <v>6.0</v>
      </c>
      <c r="B101" s="1" t="s">
        <v>1504</v>
      </c>
      <c r="C101" s="1">
        <v>3.0</v>
      </c>
      <c r="D101" s="1" t="s">
        <v>1501</v>
      </c>
      <c r="E101" s="1">
        <v>339.520178211362</v>
      </c>
      <c r="F101" s="1">
        <v>0.00143061516452074</v>
      </c>
      <c r="G101" s="1">
        <v>0.00721441994190122</v>
      </c>
    </row>
    <row r="102" ht="15.75" customHeight="1">
      <c r="A102" s="1">
        <v>4.0</v>
      </c>
      <c r="B102" s="1" t="s">
        <v>1505</v>
      </c>
      <c r="C102" s="1">
        <v>3.0</v>
      </c>
      <c r="D102" s="1" t="s">
        <v>1501</v>
      </c>
      <c r="E102" s="1">
        <v>351.399796073934</v>
      </c>
      <c r="F102" s="1">
        <v>0.00136986301369863</v>
      </c>
      <c r="G102" s="1">
        <v>0.00417127947677092</v>
      </c>
    </row>
    <row r="103" ht="15.75" customHeight="1">
      <c r="A103" s="1">
        <v>4.0</v>
      </c>
      <c r="B103" s="1" t="s">
        <v>1506</v>
      </c>
      <c r="C103" s="1">
        <v>3.0</v>
      </c>
      <c r="D103" s="1" t="s">
        <v>1501</v>
      </c>
      <c r="E103" s="1">
        <v>1121.02964959357</v>
      </c>
      <c r="F103" s="1">
        <v>0.00169491525423729</v>
      </c>
      <c r="G103" s="1">
        <v>0.00612667521989847</v>
      </c>
    </row>
    <row r="104" ht="15.75" customHeight="1">
      <c r="A104" s="1">
        <v>4.0</v>
      </c>
      <c r="B104" s="1" t="s">
        <v>1507</v>
      </c>
      <c r="C104" s="1">
        <v>3.0</v>
      </c>
      <c r="D104" s="1" t="s">
        <v>1501</v>
      </c>
      <c r="E104" s="1">
        <v>450.03559022091</v>
      </c>
      <c r="F104" s="1">
        <v>0.00148809523809524</v>
      </c>
      <c r="G104" s="1">
        <v>0.00541677576504337</v>
      </c>
    </row>
    <row r="105" ht="15.75" customHeight="1">
      <c r="A105" s="1">
        <v>4.0</v>
      </c>
      <c r="B105" s="1" t="s">
        <v>1508</v>
      </c>
      <c r="C105" s="1">
        <v>3.0</v>
      </c>
      <c r="D105" s="1" t="s">
        <v>1501</v>
      </c>
      <c r="E105" s="1">
        <v>32.796512388827</v>
      </c>
      <c r="F105" s="1">
        <v>0.00138121546961326</v>
      </c>
      <c r="G105" s="1">
        <v>0.00246112965145533</v>
      </c>
    </row>
    <row r="106" ht="15.75" customHeight="1">
      <c r="A106" s="1">
        <v>4.0</v>
      </c>
      <c r="B106" s="1" t="s">
        <v>1509</v>
      </c>
      <c r="C106" s="1">
        <v>3.0</v>
      </c>
      <c r="D106" s="1" t="s">
        <v>1501</v>
      </c>
      <c r="E106" s="1">
        <v>515.818443169919</v>
      </c>
      <c r="F106" s="1">
        <v>0.00153846153846154</v>
      </c>
      <c r="G106" s="1">
        <v>0.00513451181025888</v>
      </c>
    </row>
    <row r="107" ht="15.75" customHeight="1">
      <c r="A107" s="1">
        <v>4.0</v>
      </c>
      <c r="B107" s="1" t="s">
        <v>1510</v>
      </c>
      <c r="C107" s="1">
        <v>3.0</v>
      </c>
      <c r="D107" s="1" t="s">
        <v>1501</v>
      </c>
      <c r="E107" s="1">
        <v>322.401467587325</v>
      </c>
      <c r="F107" s="1">
        <v>0.00157728706624606</v>
      </c>
      <c r="G107" s="1">
        <v>0.0041836730815994</v>
      </c>
    </row>
    <row r="108" ht="15.75" customHeight="1">
      <c r="A108" s="1">
        <v>3.0</v>
      </c>
      <c r="B108" s="1" t="s">
        <v>1511</v>
      </c>
      <c r="C108" s="1">
        <v>3.0</v>
      </c>
      <c r="D108" s="1" t="s">
        <v>1501</v>
      </c>
      <c r="E108" s="1">
        <v>205.672575474793</v>
      </c>
      <c r="F108" s="1">
        <v>0.00156494522691706</v>
      </c>
      <c r="G108" s="1">
        <v>0.00427839010517866</v>
      </c>
    </row>
    <row r="109" ht="15.75" customHeight="1">
      <c r="A109" s="1">
        <v>3.0</v>
      </c>
      <c r="B109" s="1" t="s">
        <v>1512</v>
      </c>
      <c r="C109" s="1">
        <v>3.0</v>
      </c>
      <c r="D109" s="1" t="s">
        <v>1501</v>
      </c>
      <c r="E109" s="1">
        <v>26.1531823206385</v>
      </c>
      <c r="F109" s="1">
        <v>0.00107642626480086</v>
      </c>
      <c r="G109" s="1">
        <v>0.00377906641326376</v>
      </c>
    </row>
    <row r="110" ht="15.75" customHeight="1">
      <c r="A110" s="1">
        <v>3.0</v>
      </c>
      <c r="B110" s="1" t="s">
        <v>1513</v>
      </c>
      <c r="C110" s="1">
        <v>3.0</v>
      </c>
      <c r="D110" s="1" t="s">
        <v>1501</v>
      </c>
      <c r="E110" s="1">
        <v>29.9344889143183</v>
      </c>
      <c r="F110" s="1">
        <v>0.00141843971631206</v>
      </c>
      <c r="G110" s="1">
        <v>0.00323195655417321</v>
      </c>
    </row>
    <row r="111" ht="15.75" customHeight="1">
      <c r="A111" s="1">
        <v>3.0</v>
      </c>
      <c r="B111" s="1" t="s">
        <v>1514</v>
      </c>
      <c r="C111" s="1">
        <v>3.0</v>
      </c>
      <c r="D111" s="1" t="s">
        <v>1501</v>
      </c>
      <c r="E111" s="1">
        <v>169.156627011599</v>
      </c>
      <c r="F111" s="1">
        <v>0.00137551581843191</v>
      </c>
      <c r="G111" s="1">
        <v>0.0033227012542067</v>
      </c>
    </row>
    <row r="112" ht="15.75" customHeight="1">
      <c r="A112" s="1">
        <v>3.0</v>
      </c>
      <c r="B112" s="1" t="s">
        <v>1515</v>
      </c>
      <c r="C112" s="1">
        <v>3.0</v>
      </c>
      <c r="D112" s="1" t="s">
        <v>1501</v>
      </c>
      <c r="E112" s="1">
        <v>223.415198156756</v>
      </c>
      <c r="F112" s="1">
        <v>0.00163132137030995</v>
      </c>
      <c r="G112" s="1">
        <v>0.00389754407001698</v>
      </c>
    </row>
    <row r="113" ht="15.75" customHeight="1">
      <c r="A113" s="1">
        <v>3.0</v>
      </c>
      <c r="B113" s="1" t="s">
        <v>1516</v>
      </c>
      <c r="C113" s="1">
        <v>3.0</v>
      </c>
      <c r="D113" s="1" t="s">
        <v>1501</v>
      </c>
      <c r="E113" s="1">
        <v>160.188106050857</v>
      </c>
      <c r="F113" s="1">
        <v>0.0015015015015015</v>
      </c>
      <c r="G113" s="1">
        <v>0.0044912588612681</v>
      </c>
    </row>
    <row r="114" ht="15.75" customHeight="1">
      <c r="A114" s="1">
        <v>3.0</v>
      </c>
      <c r="B114" s="1" t="s">
        <v>1517</v>
      </c>
      <c r="C114" s="1">
        <v>3.0</v>
      </c>
      <c r="D114" s="1" t="s">
        <v>1501</v>
      </c>
      <c r="E114" s="1">
        <v>99.2555663409239</v>
      </c>
      <c r="F114" s="1">
        <v>0.00150375939849624</v>
      </c>
      <c r="G114" s="1">
        <v>0.00343865744941827</v>
      </c>
    </row>
    <row r="115" ht="15.75" customHeight="1">
      <c r="A115" s="1">
        <v>3.0</v>
      </c>
      <c r="B115" s="1" t="s">
        <v>1518</v>
      </c>
      <c r="C115" s="1">
        <v>3.0</v>
      </c>
      <c r="D115" s="1" t="s">
        <v>1501</v>
      </c>
      <c r="E115" s="1">
        <v>167.193999544733</v>
      </c>
      <c r="F115" s="1">
        <v>0.0015220700152207</v>
      </c>
      <c r="G115" s="1">
        <v>0.0033608913207672</v>
      </c>
    </row>
    <row r="116" ht="15.75" customHeight="1">
      <c r="A116" s="1">
        <v>2.0</v>
      </c>
      <c r="B116" s="1" t="s">
        <v>1519</v>
      </c>
      <c r="C116" s="1">
        <v>3.0</v>
      </c>
      <c r="D116" s="1" t="s">
        <v>1501</v>
      </c>
      <c r="E116" s="1">
        <v>75.059053276157</v>
      </c>
      <c r="F116" s="1">
        <v>0.00147275405007364</v>
      </c>
      <c r="G116" s="1">
        <v>0.00276518546528325</v>
      </c>
    </row>
    <row r="117" ht="15.75" customHeight="1">
      <c r="A117" s="1">
        <v>2.0</v>
      </c>
      <c r="B117" s="1" t="s">
        <v>1520</v>
      </c>
      <c r="C117" s="1">
        <v>3.0</v>
      </c>
      <c r="D117" s="1" t="s">
        <v>1501</v>
      </c>
      <c r="E117" s="1">
        <v>3.99882062382063</v>
      </c>
      <c r="F117" s="1">
        <v>0.00133333333333333</v>
      </c>
      <c r="G117" s="1">
        <v>0.00135938813067359</v>
      </c>
    </row>
    <row r="118" ht="15.75" customHeight="1">
      <c r="A118" s="1">
        <v>2.0</v>
      </c>
      <c r="B118" s="1" t="s">
        <v>1521</v>
      </c>
      <c r="C118" s="1">
        <v>3.0</v>
      </c>
      <c r="D118" s="1" t="s">
        <v>1501</v>
      </c>
      <c r="E118" s="1">
        <v>123.475048437439</v>
      </c>
      <c r="F118" s="1">
        <v>0.00143061516452074</v>
      </c>
      <c r="G118" s="1">
        <v>0.00282327528742023</v>
      </c>
    </row>
    <row r="119" ht="15.75" customHeight="1">
      <c r="A119" s="1">
        <v>2.0</v>
      </c>
      <c r="B119" s="1" t="s">
        <v>1522</v>
      </c>
      <c r="C119" s="1">
        <v>3.0</v>
      </c>
      <c r="D119" s="1" t="s">
        <v>1501</v>
      </c>
      <c r="E119" s="1">
        <v>7.85831616783629</v>
      </c>
      <c r="F119" s="1">
        <v>0.0011454753722795</v>
      </c>
      <c r="G119" s="1">
        <v>0.002539388708211</v>
      </c>
    </row>
    <row r="120" ht="15.75" customHeight="1">
      <c r="A120" s="1">
        <v>2.0</v>
      </c>
      <c r="B120" s="1" t="s">
        <v>1523</v>
      </c>
      <c r="C120" s="1">
        <v>3.0</v>
      </c>
      <c r="D120" s="1" t="s">
        <v>1501</v>
      </c>
      <c r="E120" s="1">
        <v>8.91112577819545</v>
      </c>
      <c r="F120" s="1">
        <v>0.00142857142857143</v>
      </c>
      <c r="G120" s="1">
        <v>0.00128858697550676</v>
      </c>
    </row>
    <row r="121" ht="15.75" customHeight="1">
      <c r="A121" s="1">
        <v>2.0</v>
      </c>
      <c r="B121" s="1" t="s">
        <v>1524</v>
      </c>
      <c r="C121" s="1">
        <v>3.0</v>
      </c>
      <c r="D121" s="1" t="s">
        <v>1501</v>
      </c>
      <c r="E121" s="1">
        <v>205.637601323574</v>
      </c>
      <c r="F121" s="1">
        <v>0.00147492625368732</v>
      </c>
      <c r="G121" s="1">
        <v>0.00238903614596161</v>
      </c>
    </row>
    <row r="122" ht="15.75" customHeight="1">
      <c r="A122" s="1">
        <v>2.0</v>
      </c>
      <c r="B122" s="1" t="s">
        <v>1525</v>
      </c>
      <c r="C122" s="1">
        <v>3.0</v>
      </c>
      <c r="D122" s="1" t="s">
        <v>1501</v>
      </c>
      <c r="E122" s="1">
        <v>35.7642210841262</v>
      </c>
      <c r="F122" s="1">
        <v>0.00103305785123967</v>
      </c>
      <c r="G122" s="1">
        <v>0.00156888477213121</v>
      </c>
    </row>
    <row r="123" ht="15.75" customHeight="1">
      <c r="A123" s="1">
        <v>2.0</v>
      </c>
      <c r="B123" s="1" t="s">
        <v>1526</v>
      </c>
      <c r="C123" s="1">
        <v>3.0</v>
      </c>
      <c r="D123" s="1" t="s">
        <v>1501</v>
      </c>
      <c r="E123" s="1">
        <v>97.4624139226178</v>
      </c>
      <c r="F123" s="1">
        <v>0.00156494522691706</v>
      </c>
      <c r="G123" s="1">
        <v>0.00401371388820097</v>
      </c>
    </row>
    <row r="124" ht="15.75" customHeight="1">
      <c r="A124" s="1">
        <v>2.0</v>
      </c>
      <c r="B124" s="1" t="s">
        <v>1527</v>
      </c>
      <c r="C124" s="1">
        <v>3.0</v>
      </c>
      <c r="D124" s="1" t="s">
        <v>1501</v>
      </c>
      <c r="E124" s="1">
        <v>31.1077406248103</v>
      </c>
      <c r="F124" s="1">
        <v>0.00146842878120411</v>
      </c>
      <c r="G124" s="1">
        <v>0.00207030797776407</v>
      </c>
    </row>
    <row r="125" ht="15.75" customHeight="1">
      <c r="A125" s="1">
        <v>2.0</v>
      </c>
      <c r="B125" s="1" t="s">
        <v>1528</v>
      </c>
      <c r="C125" s="1">
        <v>3.0</v>
      </c>
      <c r="D125" s="1" t="s">
        <v>1501</v>
      </c>
      <c r="E125" s="1">
        <v>202.030655486622</v>
      </c>
      <c r="F125" s="1">
        <v>0.00155763239875389</v>
      </c>
      <c r="G125" s="1">
        <v>0.00352300322590714</v>
      </c>
    </row>
    <row r="126" ht="15.75" customHeight="1">
      <c r="A126" s="1">
        <v>2.0</v>
      </c>
      <c r="B126" s="1" t="s">
        <v>1529</v>
      </c>
      <c r="C126" s="1">
        <v>3.0</v>
      </c>
      <c r="D126" s="1" t="s">
        <v>1501</v>
      </c>
      <c r="E126" s="1">
        <v>0.0</v>
      </c>
      <c r="F126" s="1">
        <v>9.49667616334283E-4</v>
      </c>
      <c r="G126" s="1">
        <v>0.00223654407571772</v>
      </c>
    </row>
    <row r="127" ht="15.75" customHeight="1">
      <c r="A127" s="1">
        <v>2.0</v>
      </c>
      <c r="B127" s="1" t="s">
        <v>1530</v>
      </c>
      <c r="C127" s="1">
        <v>3.0</v>
      </c>
      <c r="D127" s="1" t="s">
        <v>1501</v>
      </c>
      <c r="E127" s="1">
        <v>65.2986561505882</v>
      </c>
      <c r="F127" s="1">
        <v>0.00147058823529412</v>
      </c>
      <c r="G127" s="1">
        <v>0.00399954201570916</v>
      </c>
    </row>
    <row r="128" ht="15.75" customHeight="1">
      <c r="A128" s="1">
        <v>2.0</v>
      </c>
      <c r="B128" s="1" t="s">
        <v>1531</v>
      </c>
      <c r="C128" s="1">
        <v>3.0</v>
      </c>
      <c r="D128" s="1" t="s">
        <v>1501</v>
      </c>
      <c r="E128" s="1">
        <v>85.238561259597</v>
      </c>
      <c r="F128" s="1">
        <v>0.0013986013986014</v>
      </c>
      <c r="G128" s="1">
        <v>0.00271982917748019</v>
      </c>
    </row>
    <row r="129" ht="15.75" customHeight="1">
      <c r="A129" s="1">
        <v>2.0</v>
      </c>
      <c r="B129" s="1" t="s">
        <v>1532</v>
      </c>
      <c r="C129" s="1">
        <v>3.0</v>
      </c>
      <c r="D129" s="1" t="s">
        <v>1501</v>
      </c>
      <c r="E129" s="1">
        <v>5.71450147421956</v>
      </c>
      <c r="F129" s="1">
        <v>0.00114025085518814</v>
      </c>
      <c r="G129" s="1">
        <v>0.0022036348183344</v>
      </c>
    </row>
    <row r="130" ht="15.75" customHeight="1">
      <c r="A130" s="1">
        <v>2.0</v>
      </c>
      <c r="B130" s="1" t="s">
        <v>1533</v>
      </c>
      <c r="C130" s="1">
        <v>3.0</v>
      </c>
      <c r="D130" s="1" t="s">
        <v>1501</v>
      </c>
      <c r="E130" s="1">
        <v>0.0</v>
      </c>
      <c r="F130" s="1">
        <v>0.00116279069767442</v>
      </c>
      <c r="G130" s="1">
        <v>0.00251128999528085</v>
      </c>
    </row>
    <row r="131" ht="15.75" customHeight="1">
      <c r="A131" s="1">
        <v>2.0</v>
      </c>
      <c r="B131" s="1" t="s">
        <v>1534</v>
      </c>
      <c r="C131" s="1">
        <v>3.0</v>
      </c>
      <c r="D131" s="1" t="s">
        <v>1501</v>
      </c>
      <c r="E131" s="1">
        <v>14.2418220668221</v>
      </c>
      <c r="F131" s="1">
        <v>0.00116822429906542</v>
      </c>
      <c r="G131" s="1">
        <v>0.00297071709683638</v>
      </c>
    </row>
    <row r="132" ht="15.75" customHeight="1">
      <c r="A132" s="1">
        <v>2.0</v>
      </c>
      <c r="B132" s="1" t="s">
        <v>1535</v>
      </c>
      <c r="C132" s="1">
        <v>3.0</v>
      </c>
      <c r="D132" s="1" t="s">
        <v>1501</v>
      </c>
      <c r="E132" s="1">
        <v>253.623683812472</v>
      </c>
      <c r="F132" s="1">
        <v>0.0016260162601626</v>
      </c>
      <c r="G132" s="1">
        <v>0.00346954465819858</v>
      </c>
    </row>
    <row r="133" ht="15.75" customHeight="1">
      <c r="A133" s="1">
        <v>2.0</v>
      </c>
      <c r="B133" s="1" t="s">
        <v>1536</v>
      </c>
      <c r="C133" s="1">
        <v>3.0</v>
      </c>
      <c r="D133" s="1" t="s">
        <v>1501</v>
      </c>
      <c r="E133" s="1">
        <v>38.4433164077405</v>
      </c>
      <c r="F133" s="1">
        <v>0.00145348837209302</v>
      </c>
      <c r="G133" s="1">
        <v>0.00128806874672087</v>
      </c>
    </row>
    <row r="134" ht="15.75" customHeight="1">
      <c r="A134" s="1">
        <v>2.0</v>
      </c>
      <c r="B134" s="1" t="s">
        <v>1537</v>
      </c>
      <c r="C134" s="1">
        <v>3.0</v>
      </c>
      <c r="D134" s="1" t="s">
        <v>1501</v>
      </c>
      <c r="E134" s="1">
        <v>32.6443536163703</v>
      </c>
      <c r="F134" s="1">
        <v>0.00130548302872063</v>
      </c>
      <c r="G134" s="1">
        <v>0.00263524205052777</v>
      </c>
    </row>
    <row r="135" ht="15.75" customHeight="1">
      <c r="A135" s="1">
        <v>2.0</v>
      </c>
      <c r="B135" s="1" t="s">
        <v>1538</v>
      </c>
      <c r="C135" s="1">
        <v>3.0</v>
      </c>
      <c r="D135" s="1" t="s">
        <v>1501</v>
      </c>
      <c r="E135" s="1">
        <v>152.1394005726</v>
      </c>
      <c r="F135" s="1">
        <v>0.00146842878120411</v>
      </c>
      <c r="G135" s="1">
        <v>0.00204146841544824</v>
      </c>
    </row>
    <row r="136" ht="15.75" customHeight="1">
      <c r="A136" s="1">
        <v>2.0</v>
      </c>
      <c r="B136" s="1" t="s">
        <v>1539</v>
      </c>
      <c r="C136" s="1">
        <v>3.0</v>
      </c>
      <c r="D136" s="1" t="s">
        <v>1501</v>
      </c>
      <c r="E136" s="1">
        <v>245.280048887551</v>
      </c>
      <c r="F136" s="1">
        <v>0.00141843971631206</v>
      </c>
      <c r="G136" s="1">
        <v>0.00294450162486362</v>
      </c>
    </row>
    <row r="137" ht="15.75" customHeight="1">
      <c r="A137" s="1">
        <v>2.0</v>
      </c>
      <c r="B137" s="1" t="s">
        <v>1540</v>
      </c>
      <c r="C137" s="1">
        <v>3.0</v>
      </c>
      <c r="D137" s="1" t="s">
        <v>1501</v>
      </c>
      <c r="E137" s="1">
        <v>54.8949831373917</v>
      </c>
      <c r="F137" s="1">
        <v>0.00146412884333821</v>
      </c>
      <c r="G137" s="1">
        <v>0.00170646078746744</v>
      </c>
    </row>
    <row r="138" ht="15.75" customHeight="1">
      <c r="A138" s="1">
        <v>2.0</v>
      </c>
      <c r="B138" s="1" t="s">
        <v>1541</v>
      </c>
      <c r="C138" s="1">
        <v>3.0</v>
      </c>
      <c r="D138" s="1" t="s">
        <v>1501</v>
      </c>
      <c r="E138" s="1">
        <v>119.764777264731</v>
      </c>
      <c r="F138" s="1">
        <v>0.00152905198776758</v>
      </c>
      <c r="G138" s="1">
        <v>0.00243196069722008</v>
      </c>
    </row>
    <row r="139" ht="15.75" customHeight="1">
      <c r="A139" s="1">
        <v>2.0</v>
      </c>
      <c r="B139" s="1" t="s">
        <v>1542</v>
      </c>
      <c r="C139" s="1">
        <v>3.0</v>
      </c>
      <c r="D139" s="1" t="s">
        <v>1501</v>
      </c>
      <c r="E139" s="1">
        <v>76.1544569319569</v>
      </c>
      <c r="F139" s="1">
        <v>0.00131926121372032</v>
      </c>
      <c r="G139" s="1">
        <v>0.00198640239217983</v>
      </c>
    </row>
    <row r="140" ht="15.75" customHeight="1">
      <c r="A140" s="1">
        <v>2.0</v>
      </c>
      <c r="B140" s="1" t="s">
        <v>1543</v>
      </c>
      <c r="C140" s="1">
        <v>3.0</v>
      </c>
      <c r="D140" s="1" t="s">
        <v>1501</v>
      </c>
      <c r="E140" s="1">
        <v>1.9968253968254</v>
      </c>
      <c r="F140" s="1">
        <v>0.00128369704749679</v>
      </c>
      <c r="G140" s="1">
        <v>0.00235073533091355</v>
      </c>
    </row>
    <row r="141" ht="15.75" customHeight="1">
      <c r="A141" s="1">
        <v>2.0</v>
      </c>
      <c r="B141" s="1" t="s">
        <v>1544</v>
      </c>
      <c r="C141" s="1">
        <v>3.0</v>
      </c>
      <c r="D141" s="1" t="s">
        <v>1501</v>
      </c>
      <c r="E141" s="1">
        <v>26.7600707900631</v>
      </c>
      <c r="F141" s="1">
        <v>0.00123609394313968</v>
      </c>
      <c r="G141" s="1">
        <v>0.00150678103112299</v>
      </c>
    </row>
    <row r="142" ht="15.75" customHeight="1">
      <c r="A142" s="1">
        <v>2.0</v>
      </c>
      <c r="B142" s="1" t="s">
        <v>1545</v>
      </c>
      <c r="C142" s="1">
        <v>3.0</v>
      </c>
      <c r="D142" s="1" t="s">
        <v>1501</v>
      </c>
      <c r="E142" s="1">
        <v>14.8867405331565</v>
      </c>
      <c r="F142" s="1">
        <v>0.00144300144300144</v>
      </c>
      <c r="G142" s="1">
        <v>0.00165879592552027</v>
      </c>
    </row>
    <row r="143" ht="15.75" customHeight="1">
      <c r="A143" s="1">
        <v>2.0</v>
      </c>
      <c r="B143" s="1" t="s">
        <v>1546</v>
      </c>
      <c r="C143" s="1">
        <v>3.0</v>
      </c>
      <c r="D143" s="1" t="s">
        <v>1501</v>
      </c>
      <c r="E143" s="1">
        <v>93.5698234906333</v>
      </c>
      <c r="F143" s="1">
        <v>0.00128040973111396</v>
      </c>
      <c r="G143" s="1">
        <v>0.00183942151005356</v>
      </c>
    </row>
    <row r="144" ht="15.75" customHeight="1">
      <c r="A144" s="1">
        <v>2.0</v>
      </c>
      <c r="B144" s="1" t="s">
        <v>1547</v>
      </c>
      <c r="C144" s="1">
        <v>3.0</v>
      </c>
      <c r="D144" s="1" t="s">
        <v>1501</v>
      </c>
      <c r="E144" s="1">
        <v>10.9567787644002</v>
      </c>
      <c r="F144" s="1">
        <v>0.00131061598951507</v>
      </c>
      <c r="G144" s="1">
        <v>0.00216412886871142</v>
      </c>
    </row>
    <row r="145" ht="15.75" customHeight="1">
      <c r="A145" s="1">
        <v>2.0</v>
      </c>
      <c r="B145" s="1" t="s">
        <v>1548</v>
      </c>
      <c r="C145" s="1">
        <v>3.0</v>
      </c>
      <c r="D145" s="1" t="s">
        <v>1501</v>
      </c>
      <c r="E145" s="1">
        <v>3.92000746071953</v>
      </c>
      <c r="F145" s="1">
        <v>0.00146627565982405</v>
      </c>
      <c r="G145" s="1">
        <v>0.00267618615805747</v>
      </c>
    </row>
    <row r="146" ht="15.75" customHeight="1">
      <c r="A146" s="1">
        <v>2.0</v>
      </c>
      <c r="B146" s="1" t="s">
        <v>1549</v>
      </c>
      <c r="C146" s="1">
        <v>3.0</v>
      </c>
      <c r="D146" s="1" t="s">
        <v>1501</v>
      </c>
      <c r="E146" s="1">
        <v>130.2518127507</v>
      </c>
      <c r="F146" s="1">
        <v>0.00154559505409583</v>
      </c>
      <c r="G146" s="1">
        <v>0.00396053943449493</v>
      </c>
    </row>
    <row r="147" ht="15.75" customHeight="1">
      <c r="A147" s="1">
        <v>2.0</v>
      </c>
      <c r="B147" s="1" t="s">
        <v>1550</v>
      </c>
      <c r="C147" s="1">
        <v>3.0</v>
      </c>
      <c r="D147" s="1" t="s">
        <v>1501</v>
      </c>
      <c r="E147" s="1">
        <v>183.031999715354</v>
      </c>
      <c r="F147" s="1">
        <v>0.00151745068285281</v>
      </c>
      <c r="G147" s="1">
        <v>0.00333473168764308</v>
      </c>
    </row>
    <row r="148" ht="15.75" customHeight="1">
      <c r="A148" s="1">
        <v>2.0</v>
      </c>
      <c r="B148" s="1" t="s">
        <v>1551</v>
      </c>
      <c r="C148" s="1">
        <v>3.0</v>
      </c>
      <c r="D148" s="1" t="s">
        <v>1501</v>
      </c>
      <c r="E148" s="1">
        <v>7.22154578721295</v>
      </c>
      <c r="F148" s="1">
        <v>0.00113636363636364</v>
      </c>
      <c r="G148" s="1">
        <v>0.00244446420183285</v>
      </c>
    </row>
    <row r="149" ht="15.75" customHeight="1">
      <c r="A149" s="1">
        <v>2.0</v>
      </c>
      <c r="B149" s="1" t="s">
        <v>1552</v>
      </c>
      <c r="C149" s="1">
        <v>3.0</v>
      </c>
      <c r="D149" s="1" t="s">
        <v>1501</v>
      </c>
      <c r="E149" s="1">
        <v>29.6517069491856</v>
      </c>
      <c r="F149" s="1">
        <v>0.00136612021857923</v>
      </c>
      <c r="G149" s="1">
        <v>0.00179482932844606</v>
      </c>
    </row>
    <row r="150" ht="15.75" customHeight="1">
      <c r="A150" s="1">
        <v>36.0</v>
      </c>
      <c r="B150" s="1" t="s">
        <v>1553</v>
      </c>
      <c r="C150" s="1">
        <v>4.0</v>
      </c>
      <c r="D150" s="1" t="s">
        <v>1553</v>
      </c>
      <c r="E150" s="1">
        <v>2497.07862890556</v>
      </c>
      <c r="F150" s="1">
        <v>0.00171232876712329</v>
      </c>
      <c r="G150" s="1">
        <v>0.02342294858081</v>
      </c>
    </row>
    <row r="151" ht="15.75" customHeight="1">
      <c r="A151" s="1">
        <v>17.0</v>
      </c>
      <c r="B151" s="1" t="s">
        <v>1554</v>
      </c>
      <c r="C151" s="1">
        <v>4.0</v>
      </c>
      <c r="D151" s="1" t="s">
        <v>1553</v>
      </c>
      <c r="E151" s="1">
        <v>1611.08034001835</v>
      </c>
      <c r="F151" s="1">
        <v>0.00161550888529887</v>
      </c>
      <c r="G151" s="1">
        <v>0.0149411941797821</v>
      </c>
    </row>
    <row r="152" ht="15.75" customHeight="1">
      <c r="A152" s="1">
        <v>11.0</v>
      </c>
      <c r="B152" s="1" t="s">
        <v>1555</v>
      </c>
      <c r="C152" s="1">
        <v>4.0</v>
      </c>
      <c r="D152" s="1" t="s">
        <v>1553</v>
      </c>
      <c r="E152" s="1">
        <v>877.268858984575</v>
      </c>
      <c r="F152" s="1">
        <v>0.0016366612111293</v>
      </c>
      <c r="G152" s="1">
        <v>0.00830262556158876</v>
      </c>
    </row>
    <row r="153" ht="15.75" customHeight="1">
      <c r="A153" s="1">
        <v>11.0</v>
      </c>
      <c r="B153" s="1" t="s">
        <v>1556</v>
      </c>
      <c r="C153" s="1">
        <v>4.0</v>
      </c>
      <c r="D153" s="1" t="s">
        <v>1553</v>
      </c>
      <c r="E153" s="1">
        <v>970.437173796421</v>
      </c>
      <c r="F153" s="1">
        <v>0.00147275405007364</v>
      </c>
      <c r="G153" s="1">
        <v>0.0104869496566171</v>
      </c>
    </row>
    <row r="154" ht="15.75" customHeight="1">
      <c r="A154" s="1">
        <v>10.0</v>
      </c>
      <c r="B154" s="1" t="s">
        <v>1557</v>
      </c>
      <c r="C154" s="1">
        <v>4.0</v>
      </c>
      <c r="D154" s="1" t="s">
        <v>1553</v>
      </c>
      <c r="E154" s="1">
        <v>592.887775642392</v>
      </c>
      <c r="F154" s="1">
        <v>0.00157232704402516</v>
      </c>
      <c r="G154" s="1">
        <v>0.00874645808252231</v>
      </c>
    </row>
    <row r="155" ht="15.75" customHeight="1">
      <c r="A155" s="1">
        <v>7.0</v>
      </c>
      <c r="B155" s="1" t="s">
        <v>1558</v>
      </c>
      <c r="C155" s="1">
        <v>4.0</v>
      </c>
      <c r="D155" s="1" t="s">
        <v>1553</v>
      </c>
      <c r="E155" s="1">
        <v>793.080640960277</v>
      </c>
      <c r="F155" s="1">
        <v>0.00160513643659711</v>
      </c>
      <c r="G155" s="1">
        <v>0.00759949802443515</v>
      </c>
    </row>
    <row r="156" ht="15.75" customHeight="1">
      <c r="A156" s="1">
        <v>6.0</v>
      </c>
      <c r="B156" s="1" t="s">
        <v>1559</v>
      </c>
      <c r="C156" s="1">
        <v>4.0</v>
      </c>
      <c r="D156" s="1" t="s">
        <v>1553</v>
      </c>
      <c r="E156" s="1">
        <v>296.692521721235</v>
      </c>
      <c r="F156" s="1">
        <v>0.00154320987654321</v>
      </c>
      <c r="G156" s="1">
        <v>0.00542848890088516</v>
      </c>
    </row>
    <row r="157" ht="15.75" customHeight="1">
      <c r="A157" s="1">
        <v>6.0</v>
      </c>
      <c r="B157" s="1" t="s">
        <v>1560</v>
      </c>
      <c r="C157" s="1">
        <v>4.0</v>
      </c>
      <c r="D157" s="1" t="s">
        <v>1553</v>
      </c>
      <c r="E157" s="1">
        <v>134.795826904793</v>
      </c>
      <c r="F157" s="1">
        <v>0.00152671755725191</v>
      </c>
      <c r="G157" s="1">
        <v>0.00563068602643196</v>
      </c>
    </row>
    <row r="158" ht="15.75" customHeight="1">
      <c r="A158" s="1">
        <v>5.0</v>
      </c>
      <c r="B158" s="1" t="s">
        <v>1561</v>
      </c>
      <c r="C158" s="1">
        <v>4.0</v>
      </c>
      <c r="D158" s="1" t="s">
        <v>1553</v>
      </c>
      <c r="E158" s="1">
        <v>86.5630590135639</v>
      </c>
      <c r="F158" s="1">
        <v>0.00144508670520231</v>
      </c>
      <c r="G158" s="1">
        <v>0.00377872046873218</v>
      </c>
    </row>
    <row r="159" ht="15.75" customHeight="1">
      <c r="A159" s="1">
        <v>5.0</v>
      </c>
      <c r="B159" s="1" t="s">
        <v>1562</v>
      </c>
      <c r="C159" s="1">
        <v>4.0</v>
      </c>
      <c r="D159" s="1" t="s">
        <v>1553</v>
      </c>
      <c r="E159" s="1">
        <v>1359.48833248581</v>
      </c>
      <c r="F159" s="1">
        <v>0.00181488203266788</v>
      </c>
      <c r="G159" s="1">
        <v>0.00770033361646808</v>
      </c>
    </row>
    <row r="160" ht="15.75" customHeight="1">
      <c r="A160" s="1">
        <v>5.0</v>
      </c>
      <c r="B160" s="1" t="s">
        <v>1563</v>
      </c>
      <c r="C160" s="1">
        <v>4.0</v>
      </c>
      <c r="D160" s="1" t="s">
        <v>1553</v>
      </c>
      <c r="E160" s="1">
        <v>230.852208224285</v>
      </c>
      <c r="F160" s="1">
        <v>0.0015527950310559</v>
      </c>
      <c r="G160" s="1">
        <v>0.00561412328161159</v>
      </c>
    </row>
    <row r="161" ht="15.75" customHeight="1">
      <c r="A161" s="1">
        <v>4.0</v>
      </c>
      <c r="B161" s="1" t="s">
        <v>1564</v>
      </c>
      <c r="C161" s="1">
        <v>4.0</v>
      </c>
      <c r="D161" s="1" t="s">
        <v>1553</v>
      </c>
      <c r="E161" s="1">
        <v>22.995744226233</v>
      </c>
      <c r="F161" s="1">
        <v>0.0012970168612192</v>
      </c>
      <c r="G161" s="1">
        <v>0.00292153287930499</v>
      </c>
    </row>
    <row r="162" ht="15.75" customHeight="1">
      <c r="A162" s="1">
        <v>4.0</v>
      </c>
      <c r="B162" s="1" t="s">
        <v>1565</v>
      </c>
      <c r="C162" s="1">
        <v>4.0</v>
      </c>
      <c r="D162" s="1" t="s">
        <v>1553</v>
      </c>
      <c r="E162" s="1">
        <v>206.233757444793</v>
      </c>
      <c r="F162" s="1">
        <v>0.00161812297734628</v>
      </c>
      <c r="G162" s="1">
        <v>0.00304313876984178</v>
      </c>
    </row>
    <row r="163" ht="15.75" customHeight="1">
      <c r="A163" s="1">
        <v>4.0</v>
      </c>
      <c r="B163" s="1" t="s">
        <v>1566</v>
      </c>
      <c r="C163" s="1">
        <v>4.0</v>
      </c>
      <c r="D163" s="1" t="s">
        <v>1553</v>
      </c>
      <c r="E163" s="1">
        <v>46.2113044249959</v>
      </c>
      <c r="F163" s="1">
        <v>0.00131926121372032</v>
      </c>
      <c r="G163" s="1">
        <v>0.00451604740530144</v>
      </c>
    </row>
    <row r="164" ht="15.75" customHeight="1">
      <c r="A164" s="1">
        <v>3.0</v>
      </c>
      <c r="B164" s="1" t="s">
        <v>1567</v>
      </c>
      <c r="C164" s="1">
        <v>4.0</v>
      </c>
      <c r="D164" s="1" t="s">
        <v>1553</v>
      </c>
      <c r="E164" s="1">
        <v>2.10757575757576</v>
      </c>
      <c r="F164" s="1">
        <v>0.00117370892018779</v>
      </c>
      <c r="G164" s="1">
        <v>0.00272898596952587</v>
      </c>
    </row>
    <row r="165" ht="15.75" customHeight="1">
      <c r="A165" s="1">
        <v>3.0</v>
      </c>
      <c r="B165" s="1" t="s">
        <v>1568</v>
      </c>
      <c r="C165" s="1">
        <v>4.0</v>
      </c>
      <c r="D165" s="1" t="s">
        <v>1553</v>
      </c>
      <c r="E165" s="1">
        <v>134.958301524242</v>
      </c>
      <c r="F165" s="1">
        <v>0.00154320987654321</v>
      </c>
      <c r="G165" s="1">
        <v>0.00391907412039251</v>
      </c>
    </row>
    <row r="166" ht="15.75" customHeight="1">
      <c r="A166" s="1">
        <v>3.0</v>
      </c>
      <c r="B166" s="1" t="s">
        <v>1569</v>
      </c>
      <c r="C166" s="1">
        <v>4.0</v>
      </c>
      <c r="D166" s="1" t="s">
        <v>1553</v>
      </c>
      <c r="E166" s="1">
        <v>133.844073328216</v>
      </c>
      <c r="F166" s="1">
        <v>0.00143472022955524</v>
      </c>
      <c r="G166" s="1">
        <v>0.00504901842698621</v>
      </c>
    </row>
    <row r="167" ht="15.75" customHeight="1">
      <c r="A167" s="1">
        <v>3.0</v>
      </c>
      <c r="B167" s="1" t="s">
        <v>1570</v>
      </c>
      <c r="C167" s="1">
        <v>4.0</v>
      </c>
      <c r="D167" s="1" t="s">
        <v>1553</v>
      </c>
      <c r="E167" s="1">
        <v>48.0096306162494</v>
      </c>
      <c r="F167" s="1">
        <v>0.00146412884333821</v>
      </c>
      <c r="G167" s="1">
        <v>0.00475789177949765</v>
      </c>
    </row>
    <row r="168" ht="15.75" customHeight="1">
      <c r="A168" s="1">
        <v>3.0</v>
      </c>
      <c r="B168" s="1" t="s">
        <v>1571</v>
      </c>
      <c r="C168" s="1">
        <v>4.0</v>
      </c>
      <c r="D168" s="1" t="s">
        <v>1553</v>
      </c>
      <c r="E168" s="1">
        <v>8.59003496503496</v>
      </c>
      <c r="F168" s="1">
        <v>0.00121065375302663</v>
      </c>
      <c r="G168" s="1">
        <v>0.00305958132392317</v>
      </c>
    </row>
    <row r="169" ht="15.75" customHeight="1">
      <c r="A169" s="1">
        <v>3.0</v>
      </c>
      <c r="B169" s="1" t="s">
        <v>1572</v>
      </c>
      <c r="C169" s="1">
        <v>4.0</v>
      </c>
      <c r="D169" s="1" t="s">
        <v>1553</v>
      </c>
      <c r="E169" s="1">
        <v>103.275900383834</v>
      </c>
      <c r="F169" s="1">
        <v>0.0015625</v>
      </c>
      <c r="G169" s="1">
        <v>0.00331996284529746</v>
      </c>
    </row>
    <row r="170" ht="15.75" customHeight="1">
      <c r="A170" s="1">
        <v>3.0</v>
      </c>
      <c r="B170" s="1" t="s">
        <v>1573</v>
      </c>
      <c r="C170" s="1">
        <v>4.0</v>
      </c>
      <c r="D170" s="1" t="s">
        <v>1553</v>
      </c>
      <c r="E170" s="1">
        <v>298.461238837734</v>
      </c>
      <c r="F170" s="1">
        <v>0.0014792899408284</v>
      </c>
      <c r="G170" s="1">
        <v>0.00260555565009662</v>
      </c>
    </row>
    <row r="171" ht="15.75" customHeight="1">
      <c r="A171" s="1">
        <v>3.0</v>
      </c>
      <c r="B171" s="1" t="s">
        <v>1574</v>
      </c>
      <c r="C171" s="1">
        <v>4.0</v>
      </c>
      <c r="D171" s="1" t="s">
        <v>1553</v>
      </c>
      <c r="E171" s="1">
        <v>533.334168324368</v>
      </c>
      <c r="F171" s="1">
        <v>0.00165016501650165</v>
      </c>
      <c r="G171" s="1">
        <v>0.00416805647000807</v>
      </c>
    </row>
    <row r="172" ht="15.75" customHeight="1">
      <c r="A172" s="1">
        <v>2.0</v>
      </c>
      <c r="B172" s="1" t="s">
        <v>1575</v>
      </c>
      <c r="C172" s="1">
        <v>4.0</v>
      </c>
      <c r="D172" s="1" t="s">
        <v>1553</v>
      </c>
      <c r="E172" s="1">
        <v>37.9688029754718</v>
      </c>
      <c r="F172" s="1">
        <v>0.00131233595800525</v>
      </c>
      <c r="G172" s="1">
        <v>0.00134744521810713</v>
      </c>
    </row>
    <row r="173" ht="15.75" customHeight="1">
      <c r="A173" s="1">
        <v>2.0</v>
      </c>
      <c r="B173" s="1" t="s">
        <v>1576</v>
      </c>
      <c r="C173" s="1">
        <v>4.0</v>
      </c>
      <c r="D173" s="1" t="s">
        <v>1553</v>
      </c>
      <c r="E173" s="1">
        <v>0.0</v>
      </c>
      <c r="F173" s="1">
        <v>9.89119683481701E-4</v>
      </c>
      <c r="G173" s="1">
        <v>0.00270524084688501</v>
      </c>
    </row>
    <row r="174" ht="15.75" customHeight="1">
      <c r="A174" s="1">
        <v>2.0</v>
      </c>
      <c r="B174" s="1" t="s">
        <v>1577</v>
      </c>
      <c r="C174" s="1">
        <v>4.0</v>
      </c>
      <c r="D174" s="1" t="s">
        <v>1553</v>
      </c>
      <c r="E174" s="1">
        <v>39.8845062740446</v>
      </c>
      <c r="F174" s="1">
        <v>0.00149700598802395</v>
      </c>
      <c r="G174" s="1">
        <v>0.00274161591945528</v>
      </c>
    </row>
    <row r="175" ht="15.75" customHeight="1">
      <c r="A175" s="1">
        <v>2.0</v>
      </c>
      <c r="B175" s="1" t="s">
        <v>1578</v>
      </c>
      <c r="C175" s="1">
        <v>4.0</v>
      </c>
      <c r="D175" s="1" t="s">
        <v>1553</v>
      </c>
      <c r="E175" s="1">
        <v>19.402669941892</v>
      </c>
      <c r="F175" s="1">
        <v>0.00135135135135135</v>
      </c>
      <c r="G175" s="1">
        <v>0.00165473121686849</v>
      </c>
    </row>
    <row r="176" ht="15.75" customHeight="1">
      <c r="A176" s="1">
        <v>2.0</v>
      </c>
      <c r="B176" s="1" t="s">
        <v>1579</v>
      </c>
      <c r="C176" s="1">
        <v>4.0</v>
      </c>
      <c r="D176" s="1" t="s">
        <v>1553</v>
      </c>
      <c r="E176" s="1">
        <v>21.0223610548379</v>
      </c>
      <c r="F176" s="1">
        <v>0.00132100396301189</v>
      </c>
      <c r="G176" s="1">
        <v>0.00138579310326716</v>
      </c>
    </row>
    <row r="177" ht="15.75" customHeight="1">
      <c r="A177" s="1">
        <v>2.0</v>
      </c>
      <c r="B177" s="1" t="s">
        <v>1580</v>
      </c>
      <c r="C177" s="1">
        <v>4.0</v>
      </c>
      <c r="D177" s="1" t="s">
        <v>1553</v>
      </c>
      <c r="E177" s="1">
        <v>43.5627039627039</v>
      </c>
      <c r="F177" s="1">
        <v>0.00122100122100122</v>
      </c>
      <c r="G177" s="1">
        <v>0.00166301106677438</v>
      </c>
    </row>
    <row r="178" ht="15.75" customHeight="1">
      <c r="A178" s="1">
        <v>2.0</v>
      </c>
      <c r="B178" s="1" t="s">
        <v>1581</v>
      </c>
      <c r="C178" s="1">
        <v>4.0</v>
      </c>
      <c r="D178" s="1" t="s">
        <v>1553</v>
      </c>
      <c r="E178" s="1">
        <v>11.0280716888476</v>
      </c>
      <c r="F178" s="1">
        <v>0.00116009280742459</v>
      </c>
      <c r="G178" s="1">
        <v>0.00167055910428301</v>
      </c>
    </row>
    <row r="179" ht="15.75" customHeight="1">
      <c r="A179" s="1">
        <v>2.0</v>
      </c>
      <c r="B179" s="1" t="s">
        <v>1582</v>
      </c>
      <c r="C179" s="1">
        <v>4.0</v>
      </c>
      <c r="D179" s="1" t="s">
        <v>1553</v>
      </c>
      <c r="E179" s="1">
        <v>20.4648239898215</v>
      </c>
      <c r="F179" s="1">
        <v>0.00147710487444609</v>
      </c>
      <c r="G179" s="1">
        <v>0.00262355967177567</v>
      </c>
    </row>
    <row r="180" ht="15.75" customHeight="1">
      <c r="A180" s="1">
        <v>2.0</v>
      </c>
      <c r="B180" s="1" t="s">
        <v>1583</v>
      </c>
      <c r="C180" s="1">
        <v>4.0</v>
      </c>
      <c r="D180" s="1" t="s">
        <v>1553</v>
      </c>
      <c r="E180" s="1">
        <v>49.3168660737695</v>
      </c>
      <c r="F180" s="1">
        <v>0.00137551581843191</v>
      </c>
      <c r="G180" s="1">
        <v>0.00298286458118321</v>
      </c>
    </row>
    <row r="181" ht="15.75" customHeight="1">
      <c r="A181" s="1">
        <v>2.0</v>
      </c>
      <c r="B181" s="1" t="s">
        <v>1584</v>
      </c>
      <c r="C181" s="1">
        <v>4.0</v>
      </c>
      <c r="D181" s="1" t="s">
        <v>1553</v>
      </c>
      <c r="E181" s="1">
        <v>64.3175164786069</v>
      </c>
      <c r="F181" s="1">
        <v>0.00143884892086331</v>
      </c>
      <c r="G181" s="1">
        <v>0.00222294762962305</v>
      </c>
    </row>
    <row r="182" ht="15.75" customHeight="1">
      <c r="A182" s="1">
        <v>2.0</v>
      </c>
      <c r="B182" s="1" t="s">
        <v>1585</v>
      </c>
      <c r="C182" s="1">
        <v>4.0</v>
      </c>
      <c r="D182" s="1" t="s">
        <v>1553</v>
      </c>
      <c r="E182" s="1">
        <v>29.9810280438046</v>
      </c>
      <c r="F182" s="1">
        <v>0.00133155792276964</v>
      </c>
      <c r="G182" s="1">
        <v>0.00266018652781321</v>
      </c>
    </row>
    <row r="183" ht="15.75" customHeight="1">
      <c r="A183" s="1">
        <v>2.0</v>
      </c>
      <c r="B183" s="1" t="s">
        <v>1586</v>
      </c>
      <c r="C183" s="1">
        <v>4.0</v>
      </c>
      <c r="D183" s="1" t="s">
        <v>1553</v>
      </c>
      <c r="E183" s="1">
        <v>151.066048089278</v>
      </c>
      <c r="F183" s="1">
        <v>0.00145560407569141</v>
      </c>
      <c r="G183" s="1">
        <v>0.00238897898178511</v>
      </c>
    </row>
    <row r="184" ht="15.75" customHeight="1">
      <c r="A184" s="1">
        <v>2.0</v>
      </c>
      <c r="B184" s="1" t="s">
        <v>1587</v>
      </c>
      <c r="C184" s="1">
        <v>4.0</v>
      </c>
      <c r="D184" s="1" t="s">
        <v>1553</v>
      </c>
      <c r="E184" s="1">
        <v>24.1190419704128</v>
      </c>
      <c r="F184" s="1">
        <v>0.0012987012987013</v>
      </c>
      <c r="G184" s="1">
        <v>0.00242007864770177</v>
      </c>
    </row>
    <row r="185" ht="15.75" customHeight="1">
      <c r="A185" s="1">
        <v>2.0</v>
      </c>
      <c r="B185" s="1" t="s">
        <v>1588</v>
      </c>
      <c r="C185" s="1">
        <v>4.0</v>
      </c>
      <c r="D185" s="1" t="s">
        <v>1553</v>
      </c>
      <c r="E185" s="1">
        <v>18.5243299191275</v>
      </c>
      <c r="F185" s="1">
        <v>0.00140449438202247</v>
      </c>
      <c r="G185" s="1">
        <v>0.00213588580018339</v>
      </c>
    </row>
    <row r="186" ht="15.75" customHeight="1">
      <c r="A186" s="1">
        <v>2.0</v>
      </c>
      <c r="B186" s="1" t="s">
        <v>1589</v>
      </c>
      <c r="C186" s="1">
        <v>4.0</v>
      </c>
      <c r="D186" s="1" t="s">
        <v>1553</v>
      </c>
      <c r="E186" s="1">
        <v>197.00891201045</v>
      </c>
      <c r="F186" s="1">
        <v>0.00153846153846154</v>
      </c>
      <c r="G186" s="1">
        <v>0.00347670251597707</v>
      </c>
    </row>
    <row r="187" ht="15.75" customHeight="1">
      <c r="A187" s="1">
        <v>2.0</v>
      </c>
      <c r="B187" s="1" t="s">
        <v>1590</v>
      </c>
      <c r="C187" s="1">
        <v>4.0</v>
      </c>
      <c r="D187" s="1" t="s">
        <v>1553</v>
      </c>
      <c r="E187" s="1">
        <v>87.2272620742839</v>
      </c>
      <c r="F187" s="1">
        <v>0.00154083204930663</v>
      </c>
      <c r="G187" s="1">
        <v>0.00318974687813625</v>
      </c>
    </row>
    <row r="188" ht="15.75" customHeight="1">
      <c r="A188" s="1">
        <v>2.0</v>
      </c>
      <c r="B188" s="1" t="s">
        <v>1591</v>
      </c>
      <c r="C188" s="1">
        <v>4.0</v>
      </c>
      <c r="D188" s="1" t="s">
        <v>1553</v>
      </c>
      <c r="E188" s="1">
        <v>105.971459248717</v>
      </c>
      <c r="F188" s="1">
        <v>0.00144092219020173</v>
      </c>
      <c r="G188" s="1">
        <v>0.00235421231798614</v>
      </c>
    </row>
    <row r="189" ht="15.75" customHeight="1">
      <c r="A189" s="1">
        <v>2.0</v>
      </c>
      <c r="B189" s="1" t="s">
        <v>1592</v>
      </c>
      <c r="C189" s="1">
        <v>4.0</v>
      </c>
      <c r="D189" s="1" t="s">
        <v>1553</v>
      </c>
      <c r="E189" s="1">
        <v>19.3240242889622</v>
      </c>
      <c r="F189" s="1">
        <v>0.00125156445556946</v>
      </c>
      <c r="G189" s="1">
        <v>0.00181972698149497</v>
      </c>
    </row>
    <row r="190" ht="15.75" customHeight="1">
      <c r="A190" s="1">
        <v>9.0</v>
      </c>
      <c r="B190" s="1" t="s">
        <v>1593</v>
      </c>
      <c r="C190" s="1">
        <v>5.0</v>
      </c>
      <c r="D190" s="1" t="s">
        <v>1593</v>
      </c>
      <c r="E190" s="1">
        <v>85.1314143761375</v>
      </c>
      <c r="F190" s="1">
        <v>0.00125470514429109</v>
      </c>
      <c r="G190" s="1">
        <v>0.00671900687424373</v>
      </c>
    </row>
    <row r="191" ht="15.75" customHeight="1">
      <c r="A191" s="1">
        <v>8.0</v>
      </c>
      <c r="B191" s="1" t="s">
        <v>1594</v>
      </c>
      <c r="C191" s="1">
        <v>5.0</v>
      </c>
      <c r="D191" s="1" t="s">
        <v>1593</v>
      </c>
      <c r="E191" s="1">
        <v>1499.16788346287</v>
      </c>
      <c r="F191" s="1">
        <v>0.00133689839572193</v>
      </c>
      <c r="G191" s="1">
        <v>0.00911255470426746</v>
      </c>
    </row>
    <row r="192" ht="15.75" customHeight="1">
      <c r="A192" s="1">
        <v>6.0</v>
      </c>
      <c r="B192" s="1" t="s">
        <v>1595</v>
      </c>
      <c r="C192" s="1">
        <v>5.0</v>
      </c>
      <c r="D192" s="1" t="s">
        <v>1593</v>
      </c>
      <c r="E192" s="1">
        <v>542.250947294404</v>
      </c>
      <c r="F192" s="1">
        <v>0.00137551581843191</v>
      </c>
      <c r="G192" s="1">
        <v>0.00548194739565682</v>
      </c>
    </row>
    <row r="193" ht="15.75" customHeight="1">
      <c r="A193" s="1">
        <v>3.0</v>
      </c>
      <c r="B193" s="1" t="s">
        <v>1596</v>
      </c>
      <c r="C193" s="1">
        <v>5.0</v>
      </c>
      <c r="D193" s="1" t="s">
        <v>1593</v>
      </c>
      <c r="E193" s="1">
        <v>417.174597463604</v>
      </c>
      <c r="F193" s="1">
        <v>0.00138888888888889</v>
      </c>
      <c r="G193" s="1">
        <v>0.00393633570229611</v>
      </c>
    </row>
    <row r="194" ht="15.75" customHeight="1">
      <c r="A194" s="1">
        <v>2.0</v>
      </c>
      <c r="B194" s="1" t="s">
        <v>1597</v>
      </c>
      <c r="C194" s="1">
        <v>5.0</v>
      </c>
      <c r="D194" s="1" t="s">
        <v>1593</v>
      </c>
      <c r="E194" s="1">
        <v>24.5003260168976</v>
      </c>
      <c r="F194" s="1">
        <v>0.00110132158590308</v>
      </c>
      <c r="G194" s="1">
        <v>0.00238303016412473</v>
      </c>
    </row>
    <row r="195" ht="15.75" customHeight="1">
      <c r="A195" s="1">
        <v>2.0</v>
      </c>
      <c r="B195" s="1" t="s">
        <v>1598</v>
      </c>
      <c r="C195" s="1">
        <v>5.0</v>
      </c>
      <c r="D195" s="1" t="s">
        <v>1593</v>
      </c>
      <c r="E195" s="1">
        <v>43.0682261888454</v>
      </c>
      <c r="F195" s="1">
        <v>0.00142045454545455</v>
      </c>
      <c r="G195" s="1">
        <v>0.00179778764666894</v>
      </c>
    </row>
    <row r="196" ht="15.75" customHeight="1">
      <c r="A196" s="1">
        <v>2.0</v>
      </c>
      <c r="B196" s="1" t="s">
        <v>1599</v>
      </c>
      <c r="C196" s="1">
        <v>5.0</v>
      </c>
      <c r="D196" s="1" t="s">
        <v>1593</v>
      </c>
      <c r="E196" s="1">
        <v>0.0</v>
      </c>
      <c r="F196" s="1">
        <v>0.00101214574898785</v>
      </c>
      <c r="G196" s="1">
        <v>0.00200935436128056</v>
      </c>
    </row>
    <row r="197" ht="15.75" customHeight="1">
      <c r="A197" s="1">
        <v>2.0</v>
      </c>
      <c r="B197" s="1" t="s">
        <v>1600</v>
      </c>
      <c r="C197" s="1">
        <v>5.0</v>
      </c>
      <c r="D197" s="1" t="s">
        <v>1593</v>
      </c>
      <c r="E197" s="1">
        <v>0.0</v>
      </c>
      <c r="F197" s="1">
        <v>8.14332247557003E-4</v>
      </c>
      <c r="G197" s="1">
        <v>0.00339319907094418</v>
      </c>
    </row>
    <row r="198" ht="15.75" customHeight="1">
      <c r="A198" s="1">
        <v>2.0</v>
      </c>
      <c r="B198" s="1" t="s">
        <v>1601</v>
      </c>
      <c r="C198" s="1">
        <v>5.0</v>
      </c>
      <c r="D198" s="1" t="s">
        <v>1593</v>
      </c>
      <c r="E198" s="1">
        <v>17.9911848368745</v>
      </c>
      <c r="F198" s="1">
        <v>0.00113636363636364</v>
      </c>
      <c r="G198" s="1">
        <v>0.0030968164220703</v>
      </c>
    </row>
    <row r="199" ht="15.75" customHeight="1">
      <c r="A199" s="1">
        <v>2.0</v>
      </c>
      <c r="B199" s="1" t="s">
        <v>1602</v>
      </c>
      <c r="C199" s="1">
        <v>5.0</v>
      </c>
      <c r="D199" s="1" t="s">
        <v>1593</v>
      </c>
      <c r="E199" s="1">
        <v>17.9911848368745</v>
      </c>
      <c r="F199" s="1">
        <v>0.00113636363636364</v>
      </c>
      <c r="G199" s="1">
        <v>0.00309681642206887</v>
      </c>
    </row>
    <row r="200" ht="15.75" customHeight="1">
      <c r="A200" s="1">
        <v>2.0</v>
      </c>
      <c r="B200" s="1" t="s">
        <v>1603</v>
      </c>
      <c r="C200" s="1">
        <v>5.0</v>
      </c>
      <c r="D200" s="1" t="s">
        <v>1593</v>
      </c>
      <c r="E200" s="1">
        <v>284.206623602687</v>
      </c>
      <c r="F200" s="1">
        <v>0.00134048257372654</v>
      </c>
      <c r="G200" s="1">
        <v>0.00245157130936283</v>
      </c>
    </row>
    <row r="201" ht="15.75" customHeight="1">
      <c r="A201" s="1">
        <v>2.0</v>
      </c>
      <c r="B201" s="1" t="s">
        <v>1604</v>
      </c>
      <c r="C201" s="1">
        <v>5.0</v>
      </c>
      <c r="D201" s="1" t="s">
        <v>1593</v>
      </c>
      <c r="E201" s="1">
        <v>0.0</v>
      </c>
      <c r="F201" s="1">
        <v>8.14332247557003E-4</v>
      </c>
      <c r="G201" s="1">
        <v>0.0033931990709428</v>
      </c>
    </row>
    <row r="202" ht="15.75" customHeight="1">
      <c r="A202" s="1">
        <v>2.0</v>
      </c>
      <c r="B202" s="1" t="s">
        <v>1605</v>
      </c>
      <c r="C202" s="1">
        <v>5.0</v>
      </c>
      <c r="D202" s="1" t="s">
        <v>1593</v>
      </c>
      <c r="E202" s="1">
        <v>0.0</v>
      </c>
      <c r="F202" s="1">
        <v>0.00101522842639594</v>
      </c>
      <c r="G202" s="1">
        <v>0.00242510445117281</v>
      </c>
    </row>
    <row r="203" ht="15.75" customHeight="1">
      <c r="A203" s="1">
        <v>2.0</v>
      </c>
      <c r="B203" s="1" t="s">
        <v>1606</v>
      </c>
      <c r="C203" s="1">
        <v>5.0</v>
      </c>
      <c r="D203" s="1" t="s">
        <v>1593</v>
      </c>
      <c r="E203" s="1">
        <v>0.0</v>
      </c>
      <c r="F203" s="1">
        <v>0.00109529025191676</v>
      </c>
      <c r="G203" s="1">
        <v>0.00230701514848874</v>
      </c>
    </row>
    <row r="204" ht="15.75" customHeight="1">
      <c r="A204" s="1">
        <v>2.0</v>
      </c>
      <c r="B204" s="1" t="s">
        <v>1607</v>
      </c>
      <c r="C204" s="1">
        <v>5.0</v>
      </c>
      <c r="D204" s="1" t="s">
        <v>1593</v>
      </c>
      <c r="E204" s="1">
        <v>0.0</v>
      </c>
      <c r="F204" s="1">
        <v>8.14332247557003E-4</v>
      </c>
      <c r="G204" s="1">
        <v>0.00339319907094131</v>
      </c>
    </row>
    <row r="205" ht="15.75" customHeight="1">
      <c r="A205" s="1">
        <v>5.0</v>
      </c>
      <c r="B205" s="1" t="s">
        <v>1608</v>
      </c>
      <c r="C205" s="1">
        <v>6.0</v>
      </c>
      <c r="D205" s="1" t="s">
        <v>1608</v>
      </c>
      <c r="E205" s="1">
        <v>563.726097472714</v>
      </c>
      <c r="F205" s="1">
        <v>0.00147275405007364</v>
      </c>
      <c r="G205" s="1">
        <v>0.00883773859367302</v>
      </c>
    </row>
    <row r="206" ht="15.75" customHeight="1">
      <c r="A206" s="1">
        <v>4.0</v>
      </c>
      <c r="B206" s="1" t="s">
        <v>1609</v>
      </c>
      <c r="C206" s="1">
        <v>6.0</v>
      </c>
      <c r="D206" s="1" t="s">
        <v>1608</v>
      </c>
      <c r="E206" s="1">
        <v>36.8338127810807</v>
      </c>
      <c r="F206" s="1">
        <v>0.00110741971207087</v>
      </c>
      <c r="G206" s="1">
        <v>0.00584764930740916</v>
      </c>
    </row>
    <row r="207" ht="15.75" customHeight="1">
      <c r="A207" s="1">
        <v>3.0</v>
      </c>
      <c r="B207" s="1" t="s">
        <v>1610</v>
      </c>
      <c r="C207" s="1">
        <v>6.0</v>
      </c>
      <c r="D207" s="1" t="s">
        <v>1608</v>
      </c>
      <c r="E207" s="1">
        <v>0.0</v>
      </c>
      <c r="F207" s="1">
        <v>9.04977375565611E-4</v>
      </c>
      <c r="G207" s="1">
        <v>0.004909882584115</v>
      </c>
    </row>
    <row r="208" ht="15.75" customHeight="1">
      <c r="A208" s="1">
        <v>3.0</v>
      </c>
      <c r="B208" s="1" t="s">
        <v>1611</v>
      </c>
      <c r="C208" s="1">
        <v>6.0</v>
      </c>
      <c r="D208" s="1" t="s">
        <v>1608</v>
      </c>
      <c r="E208" s="1">
        <v>0.0</v>
      </c>
      <c r="F208" s="1">
        <v>9.04977375565611E-4</v>
      </c>
      <c r="G208" s="1">
        <v>0.00490988258411292</v>
      </c>
    </row>
    <row r="209" ht="15.75" customHeight="1">
      <c r="A209" s="1">
        <v>2.0</v>
      </c>
      <c r="B209" s="1" t="s">
        <v>1612</v>
      </c>
      <c r="C209" s="1">
        <v>6.0</v>
      </c>
      <c r="D209" s="1" t="s">
        <v>1608</v>
      </c>
      <c r="E209" s="1">
        <v>66.7345554188895</v>
      </c>
      <c r="F209" s="1">
        <v>0.00133511348464619</v>
      </c>
      <c r="G209" s="1">
        <v>0.00124473599178098</v>
      </c>
    </row>
    <row r="210" ht="15.75" customHeight="1">
      <c r="A210" s="1">
        <v>2.0</v>
      </c>
      <c r="B210" s="1" t="s">
        <v>1613</v>
      </c>
      <c r="C210" s="1">
        <v>6.0</v>
      </c>
      <c r="D210" s="1" t="s">
        <v>1608</v>
      </c>
      <c r="E210" s="1">
        <v>0.0</v>
      </c>
      <c r="F210" s="1">
        <v>0.00102774922918808</v>
      </c>
      <c r="G210" s="1">
        <v>0.00427811150555216</v>
      </c>
    </row>
    <row r="211" ht="15.75" customHeight="1">
      <c r="A211" s="1">
        <v>2.0</v>
      </c>
      <c r="B211" s="1" t="s">
        <v>1614</v>
      </c>
      <c r="C211" s="1">
        <v>6.0</v>
      </c>
      <c r="D211" s="1" t="s">
        <v>1608</v>
      </c>
      <c r="E211" s="1">
        <v>0.0</v>
      </c>
      <c r="F211" s="1">
        <v>0.00102774922918808</v>
      </c>
      <c r="G211" s="1">
        <v>0.00427811150555058</v>
      </c>
    </row>
    <row r="212" ht="15.75" customHeight="1">
      <c r="A212" s="1">
        <v>3.0</v>
      </c>
      <c r="B212" s="1" t="s">
        <v>1615</v>
      </c>
      <c r="C212" s="1">
        <v>7.0</v>
      </c>
      <c r="D212" s="1" t="s">
        <v>1615</v>
      </c>
      <c r="E212" s="1">
        <v>374.936409955656</v>
      </c>
      <c r="F212" s="1">
        <v>0.00129032258064516</v>
      </c>
      <c r="G212" s="1">
        <v>0.0049296134967868</v>
      </c>
    </row>
    <row r="213" ht="15.75" customHeight="1">
      <c r="A213" s="1">
        <v>3.0</v>
      </c>
      <c r="B213" s="1" t="s">
        <v>1616</v>
      </c>
      <c r="C213" s="1">
        <v>7.0</v>
      </c>
      <c r="D213" s="1" t="s">
        <v>1615</v>
      </c>
      <c r="E213" s="1">
        <v>379.374506625574</v>
      </c>
      <c r="F213" s="1">
        <v>0.00131233595800525</v>
      </c>
      <c r="G213" s="1">
        <v>0.00406803225101527</v>
      </c>
    </row>
    <row r="214" ht="15.75" customHeight="1">
      <c r="A214" s="1">
        <v>2.0</v>
      </c>
      <c r="B214" s="1" t="s">
        <v>1617</v>
      </c>
      <c r="C214" s="1">
        <v>7.0</v>
      </c>
      <c r="D214" s="1" t="s">
        <v>1615</v>
      </c>
      <c r="E214" s="1">
        <v>0.0</v>
      </c>
      <c r="F214" s="1">
        <v>8.78734622144112E-4</v>
      </c>
      <c r="G214" s="1">
        <v>0.00372175921393543</v>
      </c>
    </row>
    <row r="215" ht="15.75" customHeight="1">
      <c r="A215" s="1">
        <v>2.0</v>
      </c>
      <c r="B215" s="1" t="s">
        <v>1618</v>
      </c>
      <c r="C215" s="1">
        <v>7.0</v>
      </c>
      <c r="D215" s="1" t="s">
        <v>1615</v>
      </c>
      <c r="E215" s="1">
        <v>0.0</v>
      </c>
      <c r="F215" s="1">
        <v>8.78734622144112E-4</v>
      </c>
      <c r="G215" s="1">
        <v>0.0037217592139339</v>
      </c>
    </row>
    <row r="216" ht="15.75" customHeight="1">
      <c r="A216" s="1">
        <v>2.0</v>
      </c>
      <c r="B216" s="1" t="s">
        <v>1619</v>
      </c>
      <c r="C216" s="1">
        <v>7.0</v>
      </c>
      <c r="D216" s="1" t="s">
        <v>1615</v>
      </c>
      <c r="E216" s="1">
        <v>0.0</v>
      </c>
      <c r="F216" s="1">
        <v>8.78734622144112E-4</v>
      </c>
      <c r="G216" s="1">
        <v>0.00372175921393226</v>
      </c>
    </row>
    <row r="217" ht="15.75" customHeight="1">
      <c r="A217" s="1">
        <v>2.0</v>
      </c>
      <c r="B217" s="1" t="s">
        <v>1620</v>
      </c>
      <c r="C217" s="1">
        <v>8.0</v>
      </c>
      <c r="D217" s="1" t="s">
        <v>1620</v>
      </c>
      <c r="E217" s="1">
        <v>0.0</v>
      </c>
      <c r="F217" s="1">
        <v>1.0</v>
      </c>
      <c r="G217" s="1">
        <v>0.00406504065041241</v>
      </c>
    </row>
    <row r="218" ht="15.75" customHeight="1"/>
    <row r="219" ht="15.75" customHeight="1"/>
    <row r="220" ht="15.75" customHeight="1">
      <c r="A220" s="1" t="s">
        <v>1413</v>
      </c>
      <c r="B220" s="1" t="s">
        <v>1621</v>
      </c>
      <c r="C220" s="1" t="s">
        <v>1622</v>
      </c>
      <c r="D220" s="1" t="s">
        <v>1623</v>
      </c>
      <c r="E220" s="1" t="s">
        <v>1624</v>
      </c>
      <c r="F220" s="1" t="s">
        <v>1625</v>
      </c>
    </row>
    <row r="221" ht="15.75" customHeight="1">
      <c r="A221" s="1" t="s">
        <v>1418</v>
      </c>
      <c r="B221" s="1">
        <v>3.8686379297972</v>
      </c>
      <c r="C221" s="1">
        <v>49.5360123215953</v>
      </c>
      <c r="D221" s="1">
        <v>8.0</v>
      </c>
      <c r="E221" s="1">
        <v>1.0</v>
      </c>
      <c r="F221" s="1">
        <v>284.0</v>
      </c>
    </row>
    <row r="222" ht="15.75" customHeight="1">
      <c r="A222" s="1" t="s">
        <v>1469</v>
      </c>
      <c r="B222" s="1">
        <v>1.36179564940998</v>
      </c>
      <c r="C222" s="1">
        <v>52.8129200268817</v>
      </c>
      <c r="D222" s="1">
        <v>5.0</v>
      </c>
      <c r="E222" s="1">
        <v>4.0</v>
      </c>
      <c r="F222" s="1">
        <v>196.0</v>
      </c>
    </row>
    <row r="223" ht="15.75" customHeight="1">
      <c r="A223" s="1" t="s">
        <v>1501</v>
      </c>
      <c r="B223" s="1">
        <v>3.25830456457591</v>
      </c>
      <c r="C223" s="1">
        <v>61.1778846153846</v>
      </c>
      <c r="D223" s="1">
        <v>7.0</v>
      </c>
      <c r="E223" s="1">
        <v>5.0</v>
      </c>
      <c r="F223" s="1">
        <v>194.0</v>
      </c>
    </row>
    <row r="224" ht="15.75" customHeight="1">
      <c r="A224" s="1" t="s">
        <v>1553</v>
      </c>
      <c r="B224" s="1">
        <v>2.20623709079591</v>
      </c>
      <c r="C224" s="1">
        <v>51.6282101476954</v>
      </c>
      <c r="D224" s="1">
        <v>6.0</v>
      </c>
      <c r="E224" s="1">
        <v>3.0</v>
      </c>
      <c r="F224" s="1">
        <v>191.0</v>
      </c>
    </row>
    <row r="225" ht="15.75" customHeight="1">
      <c r="A225" s="1" t="s">
        <v>1593</v>
      </c>
      <c r="B225" s="1">
        <v>0.352777777777778</v>
      </c>
      <c r="C225" s="1">
        <v>73.7345679012346</v>
      </c>
      <c r="D225" s="1">
        <v>3.0</v>
      </c>
      <c r="E225" s="1">
        <v>6.0</v>
      </c>
      <c r="F225" s="1">
        <v>48.0</v>
      </c>
    </row>
    <row r="226" ht="15.75" customHeight="1">
      <c r="A226" s="1" t="s">
        <v>1608</v>
      </c>
      <c r="B226" s="1">
        <v>0.804166666666667</v>
      </c>
      <c r="C226" s="1">
        <v>92.9761904761905</v>
      </c>
      <c r="D226" s="1">
        <v>4.0</v>
      </c>
      <c r="E226" s="1">
        <v>7.0</v>
      </c>
      <c r="F226" s="1">
        <v>21.0</v>
      </c>
    </row>
    <row r="227" ht="15.75" customHeight="1">
      <c r="A227" s="1" t="s">
        <v>1615</v>
      </c>
      <c r="B227" s="1">
        <v>0.277777777777778</v>
      </c>
      <c r="C227" s="1">
        <v>117.777777777778</v>
      </c>
      <c r="D227" s="1">
        <v>2.0</v>
      </c>
      <c r="E227" s="1">
        <v>8.0</v>
      </c>
      <c r="F227" s="1">
        <v>12.0</v>
      </c>
    </row>
    <row r="228" ht="15.75" customHeight="1">
      <c r="A228" s="1" t="s">
        <v>1620</v>
      </c>
      <c r="B228" s="1">
        <v>0.0</v>
      </c>
      <c r="C228" s="1">
        <v>50.0</v>
      </c>
      <c r="D228" s="1">
        <v>1.0</v>
      </c>
      <c r="E228" s="1">
        <v>2.0</v>
      </c>
      <c r="F228" s="1">
        <v>2.0</v>
      </c>
    </row>
    <row r="229" ht="15.75" customHeight="1"/>
    <row r="230" ht="15.75" customHeight="1"/>
    <row r="231" ht="15.75" customHeight="1">
      <c r="A231" s="1" t="s">
        <v>1626</v>
      </c>
      <c r="B231" s="1" t="s">
        <v>22</v>
      </c>
      <c r="C231" s="1" t="s">
        <v>1627</v>
      </c>
      <c r="D231" s="1" t="s">
        <v>341</v>
      </c>
      <c r="E231" s="1" t="s">
        <v>51</v>
      </c>
      <c r="F231" s="1" t="s">
        <v>1628</v>
      </c>
      <c r="G231" s="1" t="s">
        <v>1629</v>
      </c>
      <c r="H231" s="1" t="s">
        <v>1630</v>
      </c>
      <c r="I231" s="1" t="s">
        <v>1631</v>
      </c>
      <c r="J231" s="1" t="s">
        <v>1469</v>
      </c>
      <c r="K231" s="1" t="s">
        <v>1418</v>
      </c>
      <c r="L231" s="1" t="s">
        <v>1501</v>
      </c>
      <c r="M231" s="1" t="s">
        <v>1608</v>
      </c>
      <c r="N231" s="1" t="s">
        <v>1553</v>
      </c>
      <c r="O231" s="1" t="s">
        <v>1593</v>
      </c>
      <c r="P231" s="1" t="s">
        <v>1620</v>
      </c>
      <c r="Q231" s="1" t="s">
        <v>1615</v>
      </c>
      <c r="R231" s="1" t="s">
        <v>1632</v>
      </c>
      <c r="S231" s="1" t="s">
        <v>1633</v>
      </c>
    </row>
    <row r="232" ht="15.75" customHeight="1">
      <c r="A232" s="1" t="s">
        <v>1634</v>
      </c>
      <c r="B232" s="1" t="s">
        <v>1635</v>
      </c>
      <c r="C232" s="1" t="s">
        <v>1636</v>
      </c>
      <c r="D232" s="1" t="s">
        <v>102</v>
      </c>
      <c r="E232" s="1">
        <v>2022.0</v>
      </c>
      <c r="F232" s="1">
        <v>1.0</v>
      </c>
      <c r="G232" s="1">
        <v>0.333333333333333</v>
      </c>
      <c r="H232" s="1">
        <v>0.177464788732394</v>
      </c>
      <c r="I232" s="1" t="s">
        <v>1637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1.0</v>
      </c>
      <c r="R232" s="1" t="s">
        <v>1615</v>
      </c>
      <c r="S232" s="1">
        <v>0.0201629233896037</v>
      </c>
    </row>
    <row r="233" ht="15.75" customHeight="1">
      <c r="A233" s="1" t="s">
        <v>1638</v>
      </c>
      <c r="B233" s="1" t="s">
        <v>1635</v>
      </c>
      <c r="C233" s="1" t="s">
        <v>1639</v>
      </c>
      <c r="D233" s="1" t="s">
        <v>102</v>
      </c>
      <c r="E233" s="1">
        <v>2022.0</v>
      </c>
      <c r="F233" s="1">
        <v>1.0</v>
      </c>
      <c r="G233" s="1">
        <v>0.333333333333333</v>
      </c>
      <c r="H233" s="1">
        <v>0.177464788732394</v>
      </c>
      <c r="I233" s="1" t="s">
        <v>1640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1.0</v>
      </c>
      <c r="R233" s="1" t="s">
        <v>1615</v>
      </c>
      <c r="S233" s="1">
        <v>0.0201629233896037</v>
      </c>
    </row>
    <row r="234" ht="15.75" customHeight="1">
      <c r="A234" s="1" t="s">
        <v>1641</v>
      </c>
      <c r="B234" s="1" t="s">
        <v>1642</v>
      </c>
      <c r="C234" s="1" t="s">
        <v>1643</v>
      </c>
      <c r="D234" s="1" t="s">
        <v>300</v>
      </c>
      <c r="E234" s="1">
        <v>2024.0</v>
      </c>
      <c r="F234" s="1">
        <v>0.0</v>
      </c>
      <c r="G234" s="1">
        <v>0.0</v>
      </c>
      <c r="H234" s="1">
        <v>0.0</v>
      </c>
      <c r="I234" s="1" t="s">
        <v>1644</v>
      </c>
      <c r="J234" s="1">
        <v>0.0384615384615385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0.961538461538462</v>
      </c>
      <c r="R234" s="1" t="s">
        <v>1615</v>
      </c>
      <c r="S234" s="1">
        <v>0.0562578270142006</v>
      </c>
    </row>
    <row r="235" ht="15.75" customHeight="1">
      <c r="A235" s="1" t="s">
        <v>1645</v>
      </c>
      <c r="B235" s="1" t="s">
        <v>1646</v>
      </c>
      <c r="C235" s="1" t="s">
        <v>1647</v>
      </c>
      <c r="D235" s="1" t="s">
        <v>221</v>
      </c>
      <c r="E235" s="1">
        <v>2019.0</v>
      </c>
      <c r="F235" s="1">
        <v>74.0</v>
      </c>
      <c r="G235" s="1">
        <v>12.3333333333333</v>
      </c>
      <c r="H235" s="1">
        <v>8.3036303630363</v>
      </c>
      <c r="I235" s="1" t="s">
        <v>1648</v>
      </c>
      <c r="J235" s="1">
        <v>1.0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 t="s">
        <v>1469</v>
      </c>
      <c r="S235" s="1">
        <v>0.0809021115857369</v>
      </c>
    </row>
    <row r="236" ht="15.75" customHeight="1">
      <c r="A236" s="1" t="s">
        <v>1649</v>
      </c>
      <c r="B236" s="1" t="s">
        <v>1650</v>
      </c>
      <c r="C236" s="1" t="s">
        <v>1651</v>
      </c>
      <c r="D236" s="1" t="s">
        <v>151</v>
      </c>
      <c r="E236" s="1">
        <v>2021.0</v>
      </c>
      <c r="F236" s="1">
        <v>73.0</v>
      </c>
      <c r="G236" s="1">
        <v>18.25</v>
      </c>
      <c r="H236" s="1">
        <v>6.00632911392405</v>
      </c>
      <c r="I236" s="1" t="s">
        <v>1652</v>
      </c>
      <c r="J236" s="1">
        <v>0.704733784169921</v>
      </c>
      <c r="K236" s="1">
        <v>0.0</v>
      </c>
      <c r="L236" s="1">
        <v>0.0</v>
      </c>
      <c r="M236" s="1">
        <v>0.0</v>
      </c>
      <c r="N236" s="1">
        <v>0.295266215830079</v>
      </c>
      <c r="O236" s="1">
        <v>0.0</v>
      </c>
      <c r="P236" s="1">
        <v>0.0</v>
      </c>
      <c r="Q236" s="1">
        <v>0.0</v>
      </c>
      <c r="R236" s="1" t="s">
        <v>1469</v>
      </c>
      <c r="S236" s="1">
        <v>0.0930005584167964</v>
      </c>
    </row>
    <row r="237" ht="15.75" customHeight="1">
      <c r="A237" s="1" t="s">
        <v>1653</v>
      </c>
      <c r="B237" s="1" t="s">
        <v>1654</v>
      </c>
      <c r="C237" s="1" t="s">
        <v>1655</v>
      </c>
      <c r="D237" s="1" t="s">
        <v>202</v>
      </c>
      <c r="E237" s="1">
        <v>2004.0</v>
      </c>
      <c r="F237" s="1">
        <v>58.0</v>
      </c>
      <c r="G237" s="1">
        <v>2.76190476190476</v>
      </c>
      <c r="H237" s="1">
        <v>1.0</v>
      </c>
      <c r="I237" s="1" t="s">
        <v>1656</v>
      </c>
      <c r="J237" s="1">
        <v>1.0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 t="s">
        <v>1469</v>
      </c>
      <c r="S237" s="1">
        <v>0.0549174808077061</v>
      </c>
    </row>
    <row r="238" ht="15.75" customHeight="1">
      <c r="A238" s="1" t="s">
        <v>1657</v>
      </c>
      <c r="B238" s="1" t="s">
        <v>1658</v>
      </c>
      <c r="C238" s="1" t="s">
        <v>1659</v>
      </c>
      <c r="D238" s="1" t="s">
        <v>62</v>
      </c>
      <c r="E238" s="1">
        <v>2020.0</v>
      </c>
      <c r="F238" s="1">
        <v>43.0</v>
      </c>
      <c r="G238" s="1">
        <v>8.6</v>
      </c>
      <c r="H238" s="1">
        <v>2.02352941176471</v>
      </c>
      <c r="I238" s="1" t="s">
        <v>1660</v>
      </c>
      <c r="J238" s="1">
        <v>0.979591836734694</v>
      </c>
      <c r="K238" s="1">
        <v>0.0204081632653061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 t="s">
        <v>1469</v>
      </c>
      <c r="S238" s="1">
        <v>0.065303646296642</v>
      </c>
    </row>
    <row r="239" ht="15.75" customHeight="1">
      <c r="A239" s="1" t="s">
        <v>1661</v>
      </c>
      <c r="B239" s="1" t="s">
        <v>1662</v>
      </c>
      <c r="C239" s="1" t="s">
        <v>1663</v>
      </c>
      <c r="D239" s="1" t="s">
        <v>62</v>
      </c>
      <c r="E239" s="1">
        <v>2021.0</v>
      </c>
      <c r="F239" s="1">
        <v>36.0</v>
      </c>
      <c r="G239" s="1">
        <v>9.0</v>
      </c>
      <c r="H239" s="1">
        <v>2.9620253164557</v>
      </c>
      <c r="I239" s="1" t="s">
        <v>1664</v>
      </c>
      <c r="J239" s="1">
        <v>0.615384615384615</v>
      </c>
      <c r="K239" s="1">
        <v>0.00591715976331361</v>
      </c>
      <c r="L239" s="1">
        <v>0.378698224852071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 t="s">
        <v>1469</v>
      </c>
      <c r="S239" s="1">
        <v>0.0944307051764766</v>
      </c>
    </row>
    <row r="240" ht="15.75" customHeight="1">
      <c r="A240" s="1" t="s">
        <v>1665</v>
      </c>
      <c r="B240" s="1" t="s">
        <v>1666</v>
      </c>
      <c r="C240" s="1" t="s">
        <v>1667</v>
      </c>
      <c r="D240" s="1" t="s">
        <v>331</v>
      </c>
      <c r="E240" s="1">
        <v>2022.0</v>
      </c>
      <c r="F240" s="1">
        <v>32.0</v>
      </c>
      <c r="G240" s="1">
        <v>10.6666666666667</v>
      </c>
      <c r="H240" s="1">
        <v>5.67887323943662</v>
      </c>
      <c r="I240" s="1" t="s">
        <v>1668</v>
      </c>
      <c r="J240" s="1">
        <v>1.0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 t="s">
        <v>1469</v>
      </c>
      <c r="S240" s="1">
        <v>0.0348517944124942</v>
      </c>
    </row>
    <row r="241" ht="15.75" customHeight="1">
      <c r="A241" s="1" t="s">
        <v>1669</v>
      </c>
      <c r="B241" s="1" t="s">
        <v>1670</v>
      </c>
      <c r="C241" s="1" t="s">
        <v>1671</v>
      </c>
      <c r="D241" s="1" t="s">
        <v>62</v>
      </c>
      <c r="E241" s="1">
        <v>2021.0</v>
      </c>
      <c r="F241" s="1">
        <v>23.0</v>
      </c>
      <c r="G241" s="1">
        <v>5.75</v>
      </c>
      <c r="H241" s="1">
        <v>1.89240506329114</v>
      </c>
      <c r="I241" s="1" t="s">
        <v>1672</v>
      </c>
      <c r="J241" s="1">
        <v>0.755905511811024</v>
      </c>
      <c r="K241" s="1">
        <v>0.244094488188976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 t="s">
        <v>1469</v>
      </c>
      <c r="S241" s="1">
        <v>0.0913110850627019</v>
      </c>
    </row>
    <row r="242" ht="15.75" customHeight="1">
      <c r="A242" s="1" t="s">
        <v>1673</v>
      </c>
      <c r="B242" s="1" t="s">
        <v>1674</v>
      </c>
      <c r="C242" s="1" t="s">
        <v>1675</v>
      </c>
      <c r="D242" s="1" t="s">
        <v>62</v>
      </c>
      <c r="E242" s="1">
        <v>2021.0</v>
      </c>
      <c r="F242" s="1">
        <v>21.0</v>
      </c>
      <c r="G242" s="1">
        <v>5.25</v>
      </c>
      <c r="H242" s="1">
        <v>1.72784810126582</v>
      </c>
      <c r="I242" s="1" t="s">
        <v>1676</v>
      </c>
      <c r="J242" s="1">
        <v>1.0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 t="s">
        <v>1469</v>
      </c>
      <c r="S242" s="1">
        <v>0.0843333441203184</v>
      </c>
    </row>
    <row r="243" ht="15.75" customHeight="1">
      <c r="A243" s="1" t="s">
        <v>1677</v>
      </c>
      <c r="B243" s="1" t="s">
        <v>1678</v>
      </c>
      <c r="C243" s="1" t="s">
        <v>1679</v>
      </c>
      <c r="D243" s="1" t="s">
        <v>312</v>
      </c>
      <c r="E243" s="1">
        <v>2021.0</v>
      </c>
      <c r="F243" s="1">
        <v>20.0</v>
      </c>
      <c r="G243" s="1">
        <v>5.0</v>
      </c>
      <c r="H243" s="1">
        <v>1.64556962025316</v>
      </c>
      <c r="I243" s="1" t="s">
        <v>1680</v>
      </c>
      <c r="J243" s="1">
        <v>1.0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 t="s">
        <v>1469</v>
      </c>
      <c r="S243" s="1">
        <v>0.101775068262361</v>
      </c>
    </row>
    <row r="244" ht="15.75" customHeight="1">
      <c r="A244" s="1" t="s">
        <v>1681</v>
      </c>
      <c r="B244" s="1" t="s">
        <v>1682</v>
      </c>
      <c r="C244" s="1" t="s">
        <v>1683</v>
      </c>
      <c r="D244" s="1" t="s">
        <v>139</v>
      </c>
      <c r="E244" s="1">
        <v>2020.0</v>
      </c>
      <c r="F244" s="1">
        <v>15.0</v>
      </c>
      <c r="G244" s="1">
        <v>3.0</v>
      </c>
      <c r="H244" s="1">
        <v>0.705882352941177</v>
      </c>
      <c r="I244" s="1" t="s">
        <v>1684</v>
      </c>
      <c r="J244" s="1">
        <v>1.0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 t="s">
        <v>1469</v>
      </c>
      <c r="S244" s="1">
        <v>0.0797808461373797</v>
      </c>
    </row>
    <row r="245" ht="15.75" customHeight="1">
      <c r="A245" s="1" t="s">
        <v>1685</v>
      </c>
      <c r="B245" s="1" t="s">
        <v>1686</v>
      </c>
      <c r="C245" s="1" t="s">
        <v>1687</v>
      </c>
      <c r="D245" s="1" t="s">
        <v>333</v>
      </c>
      <c r="E245" s="1">
        <v>2020.0</v>
      </c>
      <c r="F245" s="1">
        <v>14.0</v>
      </c>
      <c r="G245" s="1">
        <v>2.8</v>
      </c>
      <c r="H245" s="1">
        <v>0.658823529411765</v>
      </c>
      <c r="I245" s="1" t="s">
        <v>1688</v>
      </c>
      <c r="J245" s="1">
        <v>1.0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 t="s">
        <v>1469</v>
      </c>
      <c r="S245" s="1">
        <v>0.0828167798029338</v>
      </c>
    </row>
    <row r="246" ht="15.75" customHeight="1">
      <c r="A246" s="1" t="s">
        <v>1689</v>
      </c>
      <c r="B246" s="1" t="s">
        <v>1690</v>
      </c>
      <c r="C246" s="1" t="s">
        <v>1691</v>
      </c>
      <c r="D246" s="1" t="s">
        <v>185</v>
      </c>
      <c r="E246" s="1">
        <v>2022.0</v>
      </c>
      <c r="F246" s="1">
        <v>13.0</v>
      </c>
      <c r="G246" s="1">
        <v>4.33333333333333</v>
      </c>
      <c r="H246" s="1">
        <v>2.30704225352113</v>
      </c>
      <c r="I246" s="1" t="s">
        <v>1692</v>
      </c>
      <c r="J246" s="1">
        <v>0.545454545454546</v>
      </c>
      <c r="K246" s="1">
        <v>0.0</v>
      </c>
      <c r="L246" s="1">
        <v>0.272727272727273</v>
      </c>
      <c r="M246" s="1">
        <v>0.0</v>
      </c>
      <c r="N246" s="1">
        <v>0.181818181818182</v>
      </c>
      <c r="O246" s="1">
        <v>0.0</v>
      </c>
      <c r="P246" s="1">
        <v>0.0</v>
      </c>
      <c r="Q246" s="1">
        <v>0.0</v>
      </c>
      <c r="R246" s="1" t="s">
        <v>1469</v>
      </c>
      <c r="S246" s="1">
        <v>0.0131830169215129</v>
      </c>
    </row>
    <row r="247" ht="15.75" customHeight="1">
      <c r="A247" s="1" t="s">
        <v>1693</v>
      </c>
      <c r="B247" s="1" t="s">
        <v>1694</v>
      </c>
      <c r="C247" s="1" t="s">
        <v>1695</v>
      </c>
      <c r="D247" s="1" t="s">
        <v>62</v>
      </c>
      <c r="E247" s="1">
        <v>2018.0</v>
      </c>
      <c r="F247" s="1">
        <v>12.0</v>
      </c>
      <c r="G247" s="1">
        <v>1.71428571428571</v>
      </c>
      <c r="H247" s="1">
        <v>0.938775510204082</v>
      </c>
      <c r="I247" s="1" t="s">
        <v>1696</v>
      </c>
      <c r="J247" s="1">
        <v>1.0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 t="s">
        <v>1469</v>
      </c>
      <c r="S247" s="1">
        <v>0.00158655326207233</v>
      </c>
    </row>
    <row r="248" ht="15.75" customHeight="1">
      <c r="A248" s="1" t="s">
        <v>1697</v>
      </c>
      <c r="B248" s="1" t="s">
        <v>1698</v>
      </c>
      <c r="C248" s="1" t="s">
        <v>1699</v>
      </c>
      <c r="D248" s="1" t="s">
        <v>62</v>
      </c>
      <c r="E248" s="1">
        <v>2021.0</v>
      </c>
      <c r="F248" s="1">
        <v>12.0</v>
      </c>
      <c r="G248" s="1">
        <v>3.0</v>
      </c>
      <c r="H248" s="1">
        <v>0.987341772151899</v>
      </c>
      <c r="I248" s="1" t="s">
        <v>1700</v>
      </c>
      <c r="J248" s="1">
        <v>0.766884531590414</v>
      </c>
      <c r="K248" s="1">
        <v>0.233115468409586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 t="s">
        <v>1469</v>
      </c>
      <c r="S248" s="1">
        <v>0.0786217014226371</v>
      </c>
    </row>
    <row r="249" ht="15.75" customHeight="1">
      <c r="A249" s="1" t="s">
        <v>1701</v>
      </c>
      <c r="B249" s="1" t="s">
        <v>1702</v>
      </c>
      <c r="C249" s="1" t="s">
        <v>1703</v>
      </c>
      <c r="D249" s="1" t="s">
        <v>237</v>
      </c>
      <c r="E249" s="1">
        <v>2019.0</v>
      </c>
      <c r="F249" s="1">
        <v>11.0</v>
      </c>
      <c r="G249" s="1">
        <v>1.83333333333333</v>
      </c>
      <c r="H249" s="1">
        <v>1.23432343234323</v>
      </c>
      <c r="I249" s="1" t="s">
        <v>1704</v>
      </c>
      <c r="J249" s="1">
        <v>1.0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 t="s">
        <v>1469</v>
      </c>
      <c r="S249" s="1">
        <v>0.0521897947631854</v>
      </c>
    </row>
    <row r="250" ht="15.75" customHeight="1">
      <c r="A250" s="1" t="s">
        <v>1705</v>
      </c>
      <c r="B250" s="1" t="s">
        <v>1706</v>
      </c>
      <c r="C250" s="1" t="s">
        <v>1707</v>
      </c>
      <c r="D250" s="1" t="s">
        <v>182</v>
      </c>
      <c r="E250" s="1">
        <v>2022.0</v>
      </c>
      <c r="F250" s="1">
        <v>10.0</v>
      </c>
      <c r="G250" s="1">
        <v>3.33333333333333</v>
      </c>
      <c r="H250" s="1">
        <v>1.77464788732394</v>
      </c>
      <c r="I250" s="1" t="s">
        <v>1708</v>
      </c>
      <c r="J250" s="1">
        <v>1.0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 t="s">
        <v>1469</v>
      </c>
      <c r="S250" s="1">
        <v>0.0813644587455141</v>
      </c>
    </row>
    <row r="251" ht="15.75" customHeight="1">
      <c r="A251" s="1" t="s">
        <v>1709</v>
      </c>
      <c r="B251" s="1" t="s">
        <v>1710</v>
      </c>
      <c r="C251" s="1" t="s">
        <v>1711</v>
      </c>
      <c r="D251" s="1" t="s">
        <v>121</v>
      </c>
      <c r="E251" s="1">
        <v>2015.0</v>
      </c>
      <c r="F251" s="1">
        <v>10.0</v>
      </c>
      <c r="G251" s="1">
        <v>1.0</v>
      </c>
      <c r="H251" s="1">
        <v>0.456852791878173</v>
      </c>
      <c r="I251" s="1" t="s">
        <v>1712</v>
      </c>
      <c r="J251" s="1">
        <v>1.0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 t="s">
        <v>1469</v>
      </c>
      <c r="S251" s="1">
        <v>0.00376880909880111</v>
      </c>
    </row>
    <row r="252" ht="15.75" customHeight="1">
      <c r="A252" s="1" t="s">
        <v>1713</v>
      </c>
      <c r="B252" s="1" t="s">
        <v>1714</v>
      </c>
      <c r="C252" s="1" t="s">
        <v>1715</v>
      </c>
      <c r="D252" s="1" t="s">
        <v>148</v>
      </c>
      <c r="E252" s="1">
        <v>2020.0</v>
      </c>
      <c r="F252" s="1">
        <v>9.0</v>
      </c>
      <c r="G252" s="1">
        <v>1.8</v>
      </c>
      <c r="H252" s="1">
        <v>0.423529411764706</v>
      </c>
      <c r="I252" s="1" t="s">
        <v>1716</v>
      </c>
      <c r="J252" s="1">
        <v>1.0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 t="s">
        <v>1469</v>
      </c>
      <c r="S252" s="1">
        <v>0.0797808461373797</v>
      </c>
    </row>
    <row r="253" ht="15.75" customHeight="1">
      <c r="A253" s="1" t="s">
        <v>1717</v>
      </c>
      <c r="B253" s="1" t="s">
        <v>1718</v>
      </c>
      <c r="C253" s="1" t="s">
        <v>1719</v>
      </c>
      <c r="D253" s="1" t="s">
        <v>219</v>
      </c>
      <c r="E253" s="1">
        <v>2020.0</v>
      </c>
      <c r="F253" s="1">
        <v>9.0</v>
      </c>
      <c r="G253" s="1">
        <v>1.8</v>
      </c>
      <c r="H253" s="1">
        <v>0.423529411764706</v>
      </c>
      <c r="I253" s="1" t="s">
        <v>1720</v>
      </c>
      <c r="J253" s="1">
        <v>0.731756561869051</v>
      </c>
      <c r="K253" s="1">
        <v>0.0</v>
      </c>
      <c r="L253" s="1">
        <v>0.0</v>
      </c>
      <c r="M253" s="1">
        <v>0.0</v>
      </c>
      <c r="N253" s="1">
        <v>0.268243438130949</v>
      </c>
      <c r="O253" s="1">
        <v>0.0</v>
      </c>
      <c r="P253" s="1">
        <v>0.0</v>
      </c>
      <c r="Q253" s="1">
        <v>0.0</v>
      </c>
      <c r="R253" s="1" t="s">
        <v>1469</v>
      </c>
      <c r="S253" s="1">
        <v>0.0890677330159202</v>
      </c>
    </row>
    <row r="254" ht="15.75" customHeight="1">
      <c r="A254" s="1" t="s">
        <v>1721</v>
      </c>
      <c r="B254" s="1" t="s">
        <v>1722</v>
      </c>
      <c r="C254" s="1" t="s">
        <v>1723</v>
      </c>
      <c r="D254" s="1" t="s">
        <v>126</v>
      </c>
      <c r="E254" s="1">
        <v>2018.0</v>
      </c>
      <c r="F254" s="1">
        <v>8.0</v>
      </c>
      <c r="G254" s="1">
        <v>1.14285714285714</v>
      </c>
      <c r="H254" s="1">
        <v>0.625850340136054</v>
      </c>
      <c r="I254" s="1" t="s">
        <v>1724</v>
      </c>
      <c r="J254" s="1">
        <v>1.0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 t="s">
        <v>1469</v>
      </c>
      <c r="S254" s="1">
        <v>0.059583638430742</v>
      </c>
    </row>
    <row r="255" ht="15.75" customHeight="1">
      <c r="A255" s="1" t="s">
        <v>1725</v>
      </c>
      <c r="B255" s="1" t="s">
        <v>1726</v>
      </c>
      <c r="C255" s="1" t="s">
        <v>1727</v>
      </c>
      <c r="D255" s="1" t="s">
        <v>75</v>
      </c>
      <c r="E255" s="1">
        <v>2022.0</v>
      </c>
      <c r="F255" s="1">
        <v>7.0</v>
      </c>
      <c r="G255" s="1">
        <v>2.33333333333333</v>
      </c>
      <c r="H255" s="1">
        <v>1.24225352112676</v>
      </c>
      <c r="I255" s="1" t="s">
        <v>1728</v>
      </c>
      <c r="J255" s="1">
        <v>0.72</v>
      </c>
      <c r="K255" s="1">
        <v>0.0</v>
      </c>
      <c r="L255" s="1">
        <v>0.0</v>
      </c>
      <c r="M255" s="1">
        <v>0.0</v>
      </c>
      <c r="N255" s="1">
        <v>0.28</v>
      </c>
      <c r="O255" s="1">
        <v>0.0</v>
      </c>
      <c r="P255" s="1">
        <v>0.0</v>
      </c>
      <c r="Q255" s="1">
        <v>0.0</v>
      </c>
      <c r="R255" s="1" t="s">
        <v>1469</v>
      </c>
      <c r="S255" s="1">
        <v>0.0315690249385329</v>
      </c>
    </row>
    <row r="256" ht="15.75" customHeight="1">
      <c r="A256" s="1" t="s">
        <v>1729</v>
      </c>
      <c r="B256" s="1" t="s">
        <v>1730</v>
      </c>
      <c r="C256" s="1" t="s">
        <v>1731</v>
      </c>
      <c r="D256" s="1" t="s">
        <v>108</v>
      </c>
      <c r="E256" s="1">
        <v>2014.0</v>
      </c>
      <c r="F256" s="1">
        <v>6.0</v>
      </c>
      <c r="G256" s="1">
        <v>0.545454545454545</v>
      </c>
      <c r="H256" s="1">
        <v>0.118811881188119</v>
      </c>
      <c r="I256" s="1" t="s">
        <v>1732</v>
      </c>
      <c r="J256" s="1">
        <v>1.0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 t="s">
        <v>1469</v>
      </c>
      <c r="S256" s="1">
        <v>0.0667797502319613</v>
      </c>
    </row>
    <row r="257" ht="15.75" customHeight="1">
      <c r="A257" s="1" t="s">
        <v>1733</v>
      </c>
      <c r="B257" s="1" t="s">
        <v>1229</v>
      </c>
      <c r="C257" s="1" t="s">
        <v>1734</v>
      </c>
      <c r="D257" s="1" t="s">
        <v>289</v>
      </c>
      <c r="E257" s="1">
        <v>2022.0</v>
      </c>
      <c r="F257" s="1">
        <v>5.0</v>
      </c>
      <c r="G257" s="1">
        <v>1.66666666666667</v>
      </c>
      <c r="H257" s="1">
        <v>0.887323943661972</v>
      </c>
      <c r="I257" s="1" t="s">
        <v>1735</v>
      </c>
      <c r="J257" s="1">
        <v>0.771779141104294</v>
      </c>
      <c r="K257" s="1">
        <v>0.0</v>
      </c>
      <c r="L257" s="1">
        <v>0.0</v>
      </c>
      <c r="M257" s="1">
        <v>0.0</v>
      </c>
      <c r="N257" s="1">
        <v>0.228220858895706</v>
      </c>
      <c r="O257" s="1">
        <v>0.0</v>
      </c>
      <c r="P257" s="1">
        <v>0.0</v>
      </c>
      <c r="Q257" s="1">
        <v>0.0</v>
      </c>
      <c r="R257" s="1" t="s">
        <v>1469</v>
      </c>
      <c r="S257" s="1">
        <v>0.0481156142724647</v>
      </c>
    </row>
    <row r="258" ht="15.75" customHeight="1">
      <c r="A258" s="1" t="s">
        <v>1736</v>
      </c>
      <c r="B258" s="1" t="s">
        <v>1737</v>
      </c>
      <c r="C258" s="1" t="s">
        <v>1738</v>
      </c>
      <c r="D258" s="1" t="s">
        <v>108</v>
      </c>
      <c r="E258" s="1">
        <v>2012.0</v>
      </c>
      <c r="F258" s="1">
        <v>5.0</v>
      </c>
      <c r="G258" s="1">
        <v>0.384615384615385</v>
      </c>
      <c r="H258" s="1">
        <v>3.0952380952381</v>
      </c>
      <c r="I258" s="1" t="s">
        <v>1739</v>
      </c>
      <c r="J258" s="1">
        <v>0.825174825174825</v>
      </c>
      <c r="K258" s="1">
        <v>0.0</v>
      </c>
      <c r="L258" s="1">
        <v>0.174825174825175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 t="s">
        <v>1469</v>
      </c>
      <c r="S258" s="1">
        <v>0.0673740809400325</v>
      </c>
    </row>
    <row r="259" ht="15.75" customHeight="1">
      <c r="A259" s="1" t="s">
        <v>1740</v>
      </c>
      <c r="B259" s="1" t="s">
        <v>1741</v>
      </c>
      <c r="C259" s="1" t="s">
        <v>1742</v>
      </c>
      <c r="D259" s="1" t="s">
        <v>277</v>
      </c>
      <c r="E259" s="1">
        <v>2021.0</v>
      </c>
      <c r="F259" s="1">
        <v>5.0</v>
      </c>
      <c r="G259" s="1">
        <v>1.25</v>
      </c>
      <c r="H259" s="1">
        <v>0.411392405063291</v>
      </c>
      <c r="I259" s="1" t="s">
        <v>1743</v>
      </c>
      <c r="J259" s="1">
        <v>0.989690721649484</v>
      </c>
      <c r="K259" s="1">
        <v>0.0103092783505155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 t="s">
        <v>1469</v>
      </c>
      <c r="S259" s="1">
        <v>0.0684622086420782</v>
      </c>
    </row>
    <row r="260" ht="15.75" customHeight="1">
      <c r="A260" s="1" t="s">
        <v>1744</v>
      </c>
      <c r="B260" s="1" t="s">
        <v>1745</v>
      </c>
      <c r="C260" s="1" t="s">
        <v>1746</v>
      </c>
      <c r="D260" s="1" t="s">
        <v>85</v>
      </c>
      <c r="E260" s="1">
        <v>2023.0</v>
      </c>
      <c r="F260" s="1">
        <v>5.0</v>
      </c>
      <c r="G260" s="1">
        <v>2.5</v>
      </c>
      <c r="H260" s="1">
        <v>1.61087866108787</v>
      </c>
      <c r="I260" s="1" t="s">
        <v>1747</v>
      </c>
      <c r="J260" s="1">
        <v>1.0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 t="s">
        <v>1469</v>
      </c>
      <c r="S260" s="1">
        <v>0.0735082679181803</v>
      </c>
    </row>
    <row r="261" ht="15.75" customHeight="1">
      <c r="A261" s="1" t="s">
        <v>1748</v>
      </c>
      <c r="B261" s="1" t="s">
        <v>1749</v>
      </c>
      <c r="C261" s="1" t="s">
        <v>1750</v>
      </c>
      <c r="D261" s="1" t="s">
        <v>131</v>
      </c>
      <c r="E261" s="1">
        <v>2020.0</v>
      </c>
      <c r="F261" s="1">
        <v>5.0</v>
      </c>
      <c r="G261" s="1">
        <v>1.0</v>
      </c>
      <c r="H261" s="1">
        <v>0.235294117647059</v>
      </c>
      <c r="I261" s="1" t="s">
        <v>1751</v>
      </c>
      <c r="J261" s="1">
        <v>1.0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 t="s">
        <v>1469</v>
      </c>
      <c r="S261" s="1">
        <v>0.0521897947631854</v>
      </c>
    </row>
    <row r="262" ht="15.75" customHeight="1">
      <c r="A262" s="1" t="s">
        <v>1752</v>
      </c>
      <c r="B262" s="1" t="s">
        <v>1753</v>
      </c>
      <c r="C262" s="1" t="s">
        <v>1754</v>
      </c>
      <c r="D262" s="1" t="s">
        <v>214</v>
      </c>
      <c r="E262" s="1">
        <v>2023.0</v>
      </c>
      <c r="F262" s="1">
        <v>4.0</v>
      </c>
      <c r="G262" s="1">
        <v>2.0</v>
      </c>
      <c r="H262" s="1">
        <v>1.28870292887029</v>
      </c>
      <c r="I262" s="1" t="s">
        <v>1755</v>
      </c>
      <c r="J262" s="1">
        <v>1.0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 t="s">
        <v>1469</v>
      </c>
      <c r="S262" s="1">
        <v>0.0797808461373797</v>
      </c>
    </row>
    <row r="263" ht="15.75" customHeight="1">
      <c r="A263" s="1" t="s">
        <v>1756</v>
      </c>
      <c r="B263" s="1" t="s">
        <v>1757</v>
      </c>
      <c r="C263" s="1" t="s">
        <v>1758</v>
      </c>
      <c r="D263" s="1" t="s">
        <v>72</v>
      </c>
      <c r="E263" s="1">
        <v>2021.0</v>
      </c>
      <c r="F263" s="1">
        <v>4.0</v>
      </c>
      <c r="G263" s="1">
        <v>1.0</v>
      </c>
      <c r="H263" s="1">
        <v>0.329113924050633</v>
      </c>
      <c r="I263" s="1" t="s">
        <v>1759</v>
      </c>
      <c r="J263" s="1">
        <v>0.75</v>
      </c>
      <c r="K263" s="1">
        <v>0.0</v>
      </c>
      <c r="L263" s="1">
        <v>0.0</v>
      </c>
      <c r="M263" s="1">
        <v>0.0</v>
      </c>
      <c r="N263" s="1">
        <v>0.25</v>
      </c>
      <c r="O263" s="1">
        <v>0.0</v>
      </c>
      <c r="P263" s="1">
        <v>0.0</v>
      </c>
      <c r="Q263" s="1">
        <v>0.0</v>
      </c>
      <c r="R263" s="1" t="s">
        <v>1469</v>
      </c>
      <c r="S263" s="1">
        <v>0.0363751170544458</v>
      </c>
    </row>
    <row r="264" ht="15.75" customHeight="1">
      <c r="A264" s="1" t="s">
        <v>1760</v>
      </c>
      <c r="B264" s="1" t="s">
        <v>1761</v>
      </c>
      <c r="C264" s="1" t="s">
        <v>1762</v>
      </c>
      <c r="D264" s="1" t="s">
        <v>64</v>
      </c>
      <c r="E264" s="1">
        <v>2021.0</v>
      </c>
      <c r="F264" s="1">
        <v>4.0</v>
      </c>
      <c r="G264" s="1">
        <v>1.0</v>
      </c>
      <c r="H264" s="1">
        <v>0.329113924050633</v>
      </c>
      <c r="I264" s="1" t="s">
        <v>1763</v>
      </c>
      <c r="J264" s="1">
        <v>1.0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 t="s">
        <v>1469</v>
      </c>
      <c r="S264" s="1">
        <v>0.0433623805307358</v>
      </c>
    </row>
    <row r="265" ht="15.75" customHeight="1">
      <c r="A265" s="1" t="s">
        <v>1764</v>
      </c>
      <c r="B265" s="1" t="s">
        <v>1765</v>
      </c>
      <c r="C265" s="1" t="s">
        <v>1766</v>
      </c>
      <c r="D265" s="1" t="s">
        <v>114</v>
      </c>
      <c r="E265" s="1">
        <v>2016.0</v>
      </c>
      <c r="F265" s="1">
        <v>4.0</v>
      </c>
      <c r="G265" s="1">
        <v>0.444444444444444</v>
      </c>
      <c r="H265" s="1">
        <v>0.449438202247191</v>
      </c>
      <c r="I265" s="1" t="s">
        <v>1767</v>
      </c>
      <c r="J265" s="1">
        <v>1.0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 t="s">
        <v>1469</v>
      </c>
      <c r="S265" s="1">
        <v>0.059583638430742</v>
      </c>
    </row>
    <row r="266" ht="15.75" customHeight="1">
      <c r="A266" s="1" t="s">
        <v>1768</v>
      </c>
      <c r="B266" s="1" t="s">
        <v>1769</v>
      </c>
      <c r="C266" s="1" t="s">
        <v>1770</v>
      </c>
      <c r="D266" s="1" t="s">
        <v>81</v>
      </c>
      <c r="E266" s="1">
        <v>2024.0</v>
      </c>
      <c r="F266" s="1">
        <v>3.0</v>
      </c>
      <c r="G266" s="1">
        <v>3.0</v>
      </c>
      <c r="H266" s="1">
        <v>3.25714285714286</v>
      </c>
      <c r="I266" s="1" t="s">
        <v>1771</v>
      </c>
      <c r="J266" s="1">
        <v>1.0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 t="s">
        <v>1469</v>
      </c>
      <c r="S266" s="1">
        <v>0.0521897947631854</v>
      </c>
    </row>
    <row r="267" ht="15.75" customHeight="1">
      <c r="A267" s="1" t="s">
        <v>1772</v>
      </c>
      <c r="B267" s="1" t="s">
        <v>1773</v>
      </c>
      <c r="C267" s="1" t="s">
        <v>1774</v>
      </c>
      <c r="D267" s="1" t="s">
        <v>290</v>
      </c>
      <c r="E267" s="1">
        <v>2023.0</v>
      </c>
      <c r="F267" s="1">
        <v>3.0</v>
      </c>
      <c r="G267" s="1">
        <v>1.5</v>
      </c>
      <c r="H267" s="1">
        <v>0.96652719665272</v>
      </c>
      <c r="I267" s="1" t="s">
        <v>1775</v>
      </c>
      <c r="J267" s="1">
        <v>1.0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 t="s">
        <v>1469</v>
      </c>
      <c r="S267" s="1">
        <v>0.0797808461373797</v>
      </c>
    </row>
    <row r="268" ht="15.75" customHeight="1">
      <c r="A268" s="1" t="s">
        <v>1776</v>
      </c>
      <c r="B268" s="1" t="s">
        <v>1777</v>
      </c>
      <c r="C268" s="1" t="s">
        <v>1778</v>
      </c>
      <c r="D268" s="1" t="s">
        <v>62</v>
      </c>
      <c r="E268" s="1">
        <v>2022.0</v>
      </c>
      <c r="F268" s="1">
        <v>3.0</v>
      </c>
      <c r="G268" s="1">
        <v>1.0</v>
      </c>
      <c r="H268" s="1">
        <v>0.532394366197183</v>
      </c>
      <c r="I268" s="1" t="s">
        <v>1779</v>
      </c>
      <c r="J268" s="1">
        <v>0.979591836734694</v>
      </c>
      <c r="K268" s="1">
        <v>0.0204081632653061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 t="s">
        <v>1469</v>
      </c>
      <c r="S268" s="1">
        <v>0.0663568829262915</v>
      </c>
    </row>
    <row r="269" ht="15.75" customHeight="1">
      <c r="A269" s="1" t="s">
        <v>1780</v>
      </c>
      <c r="B269" s="1" t="s">
        <v>1781</v>
      </c>
      <c r="C269" s="1" t="s">
        <v>1782</v>
      </c>
      <c r="D269" s="1" t="s">
        <v>326</v>
      </c>
      <c r="E269" s="1">
        <v>2021.0</v>
      </c>
      <c r="F269" s="1">
        <v>3.0</v>
      </c>
      <c r="G269" s="1">
        <v>0.75</v>
      </c>
      <c r="H269" s="1">
        <v>0.246835443037975</v>
      </c>
      <c r="I269" s="1" t="s">
        <v>1783</v>
      </c>
      <c r="J269" s="1">
        <v>1.0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 t="s">
        <v>1469</v>
      </c>
      <c r="S269" s="1">
        <v>0.0540866934936039</v>
      </c>
    </row>
    <row r="270" ht="15.75" customHeight="1">
      <c r="A270" s="1" t="s">
        <v>1784</v>
      </c>
      <c r="B270" s="1" t="s">
        <v>1785</v>
      </c>
      <c r="C270" s="1" t="s">
        <v>1786</v>
      </c>
      <c r="D270" s="1" t="s">
        <v>62</v>
      </c>
      <c r="E270" s="1">
        <v>2023.0</v>
      </c>
      <c r="F270" s="1">
        <v>2.0</v>
      </c>
      <c r="G270" s="1">
        <v>1.0</v>
      </c>
      <c r="H270" s="1">
        <v>0.644351464435146</v>
      </c>
      <c r="I270" s="1" t="s">
        <v>1787</v>
      </c>
      <c r="J270" s="1">
        <v>1.0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 t="s">
        <v>1469</v>
      </c>
      <c r="S270" s="1">
        <v>0.00656235335899442</v>
      </c>
    </row>
    <row r="271" ht="15.75" customHeight="1">
      <c r="A271" s="1" t="s">
        <v>1788</v>
      </c>
      <c r="B271" s="1" t="s">
        <v>1785</v>
      </c>
      <c r="C271" s="1" t="s">
        <v>1789</v>
      </c>
      <c r="D271" s="1" t="s">
        <v>64</v>
      </c>
      <c r="E271" s="1">
        <v>2023.0</v>
      </c>
      <c r="F271" s="1">
        <v>2.0</v>
      </c>
      <c r="G271" s="1">
        <v>1.0</v>
      </c>
      <c r="H271" s="1">
        <v>0.644351464435146</v>
      </c>
      <c r="I271" s="1" t="s">
        <v>1790</v>
      </c>
      <c r="J271" s="1">
        <v>1.0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 t="s">
        <v>1469</v>
      </c>
      <c r="S271" s="1">
        <v>0.0039423371486256</v>
      </c>
    </row>
    <row r="272" ht="15.75" customHeight="1">
      <c r="A272" s="1" t="s">
        <v>1791</v>
      </c>
      <c r="B272" s="1" t="s">
        <v>1792</v>
      </c>
      <c r="C272" s="1" t="s">
        <v>1793</v>
      </c>
      <c r="D272" s="1" t="s">
        <v>310</v>
      </c>
      <c r="E272" s="1">
        <v>2024.0</v>
      </c>
      <c r="F272" s="1">
        <v>2.0</v>
      </c>
      <c r="G272" s="1">
        <v>2.0</v>
      </c>
      <c r="H272" s="1">
        <v>2.17142857142857</v>
      </c>
      <c r="I272" s="1" t="s">
        <v>1794</v>
      </c>
      <c r="J272" s="1">
        <v>1.0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 t="s">
        <v>1469</v>
      </c>
      <c r="S272" s="1">
        <v>0.0544176564529496</v>
      </c>
    </row>
    <row r="273" ht="15.75" customHeight="1">
      <c r="A273" s="1" t="s">
        <v>1795</v>
      </c>
      <c r="B273" s="1" t="s">
        <v>1796</v>
      </c>
      <c r="C273" s="1" t="s">
        <v>1797</v>
      </c>
      <c r="D273" s="1" t="s">
        <v>273</v>
      </c>
      <c r="E273" s="1">
        <v>2023.0</v>
      </c>
      <c r="F273" s="1">
        <v>2.0</v>
      </c>
      <c r="G273" s="1">
        <v>1.0</v>
      </c>
      <c r="H273" s="1">
        <v>0.644351464435146</v>
      </c>
      <c r="I273" s="1" t="s">
        <v>1798</v>
      </c>
      <c r="J273" s="1">
        <v>1.0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 t="s">
        <v>1469</v>
      </c>
      <c r="S273" s="1">
        <v>0.00455249798293869</v>
      </c>
    </row>
    <row r="274" ht="15.75" customHeight="1">
      <c r="A274" s="1" t="s">
        <v>1799</v>
      </c>
      <c r="B274" s="1" t="s">
        <v>1800</v>
      </c>
      <c r="C274" s="1" t="s">
        <v>1801</v>
      </c>
      <c r="D274" s="1" t="s">
        <v>77</v>
      </c>
      <c r="E274" s="1">
        <v>2022.0</v>
      </c>
      <c r="F274" s="1">
        <v>2.0</v>
      </c>
      <c r="G274" s="1">
        <v>0.666666666666667</v>
      </c>
      <c r="H274" s="1">
        <v>0.354929577464789</v>
      </c>
      <c r="I274" s="1" t="s">
        <v>1802</v>
      </c>
      <c r="J274" s="1">
        <v>1.0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 t="s">
        <v>1469</v>
      </c>
      <c r="S274" s="1">
        <v>0.0797808461373797</v>
      </c>
    </row>
    <row r="275" ht="15.75" customHeight="1">
      <c r="A275" s="1" t="s">
        <v>1803</v>
      </c>
      <c r="B275" s="1" t="s">
        <v>397</v>
      </c>
      <c r="C275" s="1" t="s">
        <v>1804</v>
      </c>
      <c r="D275" s="1" t="s">
        <v>109</v>
      </c>
      <c r="E275" s="1">
        <v>2014.0</v>
      </c>
      <c r="F275" s="1">
        <v>2.0</v>
      </c>
      <c r="G275" s="1">
        <v>0.181818181818182</v>
      </c>
      <c r="H275" s="1">
        <v>0.0396039603960396</v>
      </c>
      <c r="I275" s="1" t="s">
        <v>1805</v>
      </c>
      <c r="J275" s="1">
        <v>1.0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 t="s">
        <v>1469</v>
      </c>
      <c r="S275" s="1">
        <v>0.0651419632368211</v>
      </c>
    </row>
    <row r="276" ht="15.75" customHeight="1">
      <c r="A276" s="1" t="s">
        <v>1806</v>
      </c>
      <c r="B276" s="1" t="s">
        <v>1807</v>
      </c>
      <c r="C276" s="1" t="s">
        <v>1808</v>
      </c>
      <c r="D276" s="1" t="s">
        <v>238</v>
      </c>
      <c r="E276" s="1">
        <v>2009.0</v>
      </c>
      <c r="F276" s="1">
        <v>2.0</v>
      </c>
      <c r="G276" s="1">
        <v>0.125</v>
      </c>
      <c r="H276" s="1">
        <v>0.260869565217391</v>
      </c>
      <c r="I276" s="1" t="s">
        <v>1809</v>
      </c>
      <c r="J276" s="1">
        <v>1.0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 t="s">
        <v>1469</v>
      </c>
      <c r="S276" s="1">
        <v>0.0521897947631854</v>
      </c>
    </row>
    <row r="277" ht="15.75" customHeight="1">
      <c r="A277" s="1" t="s">
        <v>1810</v>
      </c>
      <c r="B277" s="1" t="s">
        <v>686</v>
      </c>
      <c r="C277" s="1" t="s">
        <v>1811</v>
      </c>
      <c r="D277" s="1" t="s">
        <v>252</v>
      </c>
      <c r="E277" s="1">
        <v>2022.0</v>
      </c>
      <c r="F277" s="1">
        <v>1.0</v>
      </c>
      <c r="G277" s="1">
        <v>0.333333333333333</v>
      </c>
      <c r="H277" s="1">
        <v>0.177464788732394</v>
      </c>
      <c r="I277" s="1" t="s">
        <v>1812</v>
      </c>
      <c r="J277" s="1">
        <v>1.0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 t="s">
        <v>1469</v>
      </c>
      <c r="S277" s="1">
        <v>0.0534471614527004</v>
      </c>
    </row>
    <row r="278" ht="15.75" customHeight="1">
      <c r="A278" s="1" t="s">
        <v>1813</v>
      </c>
      <c r="B278" s="1" t="s">
        <v>1814</v>
      </c>
      <c r="C278" s="1" t="s">
        <v>1815</v>
      </c>
      <c r="D278" s="1" t="s">
        <v>318</v>
      </c>
      <c r="E278" s="1">
        <v>2024.0</v>
      </c>
      <c r="F278" s="1">
        <v>1.0</v>
      </c>
      <c r="G278" s="1">
        <v>1.0</v>
      </c>
      <c r="H278" s="1">
        <v>1.08571428571429</v>
      </c>
      <c r="I278" s="1" t="s">
        <v>1816</v>
      </c>
      <c r="J278" s="1">
        <v>1.0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 t="s">
        <v>1469</v>
      </c>
      <c r="S278" s="1">
        <v>0.0521897947631854</v>
      </c>
    </row>
    <row r="279" ht="15.75" customHeight="1">
      <c r="A279" s="1" t="s">
        <v>1817</v>
      </c>
      <c r="B279" s="1" t="s">
        <v>1818</v>
      </c>
      <c r="C279" s="1" t="s">
        <v>1819</v>
      </c>
      <c r="D279" s="1" t="s">
        <v>268</v>
      </c>
      <c r="E279" s="1">
        <v>2023.0</v>
      </c>
      <c r="F279" s="1">
        <v>1.0</v>
      </c>
      <c r="G279" s="1">
        <v>0.5</v>
      </c>
      <c r="H279" s="1">
        <v>0.322175732217573</v>
      </c>
      <c r="I279" s="1" t="s">
        <v>1820</v>
      </c>
      <c r="J279" s="1">
        <v>0.96969696969697</v>
      </c>
      <c r="K279" s="1">
        <v>0.0303030303030303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 t="s">
        <v>1469</v>
      </c>
      <c r="S279" s="1">
        <v>0.0669515781829903</v>
      </c>
    </row>
    <row r="280" ht="15.75" customHeight="1">
      <c r="A280" s="1" t="s">
        <v>1821</v>
      </c>
      <c r="B280" s="1" t="s">
        <v>1822</v>
      </c>
      <c r="C280" s="1" t="s">
        <v>1823</v>
      </c>
      <c r="D280" s="1" t="s">
        <v>323</v>
      </c>
      <c r="E280" s="1">
        <v>2023.0</v>
      </c>
      <c r="F280" s="1">
        <v>1.0</v>
      </c>
      <c r="G280" s="1">
        <v>0.5</v>
      </c>
      <c r="H280" s="1">
        <v>0.322175732217573</v>
      </c>
      <c r="I280" s="1" t="s">
        <v>1824</v>
      </c>
      <c r="J280" s="1">
        <v>0.657534246575342</v>
      </c>
      <c r="K280" s="1">
        <v>0.342465753424658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 t="s">
        <v>1469</v>
      </c>
      <c r="S280" s="1">
        <v>0.0711997930773766</v>
      </c>
    </row>
    <row r="281" ht="15.75" customHeight="1">
      <c r="A281" s="1" t="s">
        <v>1825</v>
      </c>
      <c r="B281" s="1" t="s">
        <v>1826</v>
      </c>
      <c r="C281" s="1" t="s">
        <v>1827</v>
      </c>
      <c r="D281" s="1" t="s">
        <v>105</v>
      </c>
      <c r="E281" s="1">
        <v>2023.0</v>
      </c>
      <c r="F281" s="1">
        <v>1.0</v>
      </c>
      <c r="G281" s="1">
        <v>0.5</v>
      </c>
      <c r="H281" s="1">
        <v>0.322175732217573</v>
      </c>
      <c r="I281" s="1" t="s">
        <v>1828</v>
      </c>
      <c r="J281" s="1">
        <v>0.952380952380952</v>
      </c>
      <c r="K281" s="1">
        <v>0.0</v>
      </c>
      <c r="L281" s="1">
        <v>0.0476190476190476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 t="s">
        <v>1469</v>
      </c>
      <c r="S281" s="1">
        <v>0.048119437487642</v>
      </c>
    </row>
    <row r="282" ht="15.75" customHeight="1">
      <c r="A282" s="1" t="s">
        <v>1829</v>
      </c>
      <c r="B282" s="1" t="s">
        <v>1830</v>
      </c>
      <c r="C282" s="1" t="s">
        <v>1831</v>
      </c>
      <c r="D282" s="1" t="s">
        <v>136</v>
      </c>
      <c r="E282" s="1">
        <v>2021.0</v>
      </c>
      <c r="F282" s="1">
        <v>1.0</v>
      </c>
      <c r="G282" s="1">
        <v>0.25</v>
      </c>
      <c r="H282" s="1">
        <v>0.0822784810126582</v>
      </c>
      <c r="I282" s="1" t="s">
        <v>1832</v>
      </c>
      <c r="J282" s="1">
        <v>1.0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 t="s">
        <v>1469</v>
      </c>
      <c r="S282" s="1">
        <v>0.0667533521455404</v>
      </c>
    </row>
    <row r="283" ht="15.75" customHeight="1">
      <c r="A283" s="1" t="s">
        <v>1833</v>
      </c>
      <c r="B283" s="1" t="s">
        <v>1834</v>
      </c>
      <c r="C283" s="1" t="s">
        <v>1835</v>
      </c>
      <c r="D283" s="1" t="s">
        <v>62</v>
      </c>
      <c r="E283" s="1">
        <v>2023.0</v>
      </c>
      <c r="F283" s="1">
        <v>1.0</v>
      </c>
      <c r="G283" s="1">
        <v>0.5</v>
      </c>
      <c r="H283" s="1">
        <v>0.322175732217573</v>
      </c>
      <c r="I283" s="1" t="s">
        <v>1836</v>
      </c>
      <c r="J283" s="1">
        <v>1.0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 t="s">
        <v>1469</v>
      </c>
      <c r="S283" s="1">
        <v>0.0534471614527004</v>
      </c>
    </row>
    <row r="284" ht="15.75" customHeight="1">
      <c r="A284" s="1" t="s">
        <v>1837</v>
      </c>
      <c r="B284" s="1" t="s">
        <v>1838</v>
      </c>
      <c r="C284" s="1" t="s">
        <v>1839</v>
      </c>
      <c r="D284" s="1" t="s">
        <v>76</v>
      </c>
      <c r="E284" s="1">
        <v>2020.0</v>
      </c>
      <c r="F284" s="1">
        <v>1.0</v>
      </c>
      <c r="G284" s="1">
        <v>0.2</v>
      </c>
      <c r="H284" s="1">
        <v>0.0470588235294118</v>
      </c>
      <c r="I284" s="1" t="s">
        <v>1840</v>
      </c>
      <c r="J284" s="1">
        <v>1.0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 t="s">
        <v>1469</v>
      </c>
      <c r="S284" s="1">
        <v>0.0521897947631854</v>
      </c>
    </row>
    <row r="285" ht="15.75" customHeight="1">
      <c r="A285" s="1" t="s">
        <v>1841</v>
      </c>
      <c r="B285" s="1" t="s">
        <v>1842</v>
      </c>
      <c r="C285" s="1" t="s">
        <v>1843</v>
      </c>
      <c r="D285" s="1" t="s">
        <v>317</v>
      </c>
      <c r="E285" s="1">
        <v>2022.0</v>
      </c>
      <c r="F285" s="1">
        <v>1.0</v>
      </c>
      <c r="G285" s="1">
        <v>0.333333333333333</v>
      </c>
      <c r="H285" s="1">
        <v>0.177464788732394</v>
      </c>
      <c r="I285" s="1" t="s">
        <v>1844</v>
      </c>
      <c r="J285" s="1">
        <v>0.59504132231405</v>
      </c>
      <c r="K285" s="1">
        <v>0.00826446280991735</v>
      </c>
      <c r="L285" s="1">
        <v>0.396694214876033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 t="s">
        <v>1469</v>
      </c>
      <c r="S285" s="1">
        <v>0.0739859179823155</v>
      </c>
    </row>
    <row r="286" ht="15.75" customHeight="1">
      <c r="A286" s="1" t="s">
        <v>1845</v>
      </c>
      <c r="B286" s="1" t="s">
        <v>1846</v>
      </c>
      <c r="C286" s="1" t="s">
        <v>1847</v>
      </c>
      <c r="D286" s="1" t="s">
        <v>192</v>
      </c>
      <c r="E286" s="1">
        <v>2024.0</v>
      </c>
      <c r="F286" s="1">
        <v>1.0</v>
      </c>
      <c r="G286" s="1">
        <v>1.0</v>
      </c>
      <c r="H286" s="1">
        <v>1.08571428571429</v>
      </c>
      <c r="I286" s="1" t="s">
        <v>1848</v>
      </c>
      <c r="J286" s="1">
        <v>1.0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 t="s">
        <v>1469</v>
      </c>
      <c r="S286" s="1">
        <v>0.059583638430742</v>
      </c>
    </row>
    <row r="287" ht="15.75" customHeight="1">
      <c r="A287" s="1" t="s">
        <v>1849</v>
      </c>
      <c r="B287" s="1" t="s">
        <v>1850</v>
      </c>
      <c r="C287" s="1" t="s">
        <v>1851</v>
      </c>
      <c r="D287" s="1" t="s">
        <v>287</v>
      </c>
      <c r="E287" s="1">
        <v>2023.0</v>
      </c>
      <c r="F287" s="1">
        <v>1.0</v>
      </c>
      <c r="G287" s="1">
        <v>0.5</v>
      </c>
      <c r="H287" s="1">
        <v>0.322175732217573</v>
      </c>
      <c r="I287" s="1" t="s">
        <v>1852</v>
      </c>
      <c r="J287" s="1">
        <v>0.952380952380952</v>
      </c>
      <c r="K287" s="1">
        <v>0.0</v>
      </c>
      <c r="L287" s="1">
        <v>0.0476190476190476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 t="s">
        <v>1469</v>
      </c>
      <c r="S287" s="1">
        <v>0.0477709732723285</v>
      </c>
    </row>
    <row r="288" ht="15.75" customHeight="1">
      <c r="A288" s="1" t="s">
        <v>1853</v>
      </c>
      <c r="B288" s="1" t="s">
        <v>1854</v>
      </c>
      <c r="C288" s="1" t="s">
        <v>1855</v>
      </c>
      <c r="D288" s="1" t="s">
        <v>208</v>
      </c>
      <c r="E288" s="1">
        <v>2023.0</v>
      </c>
      <c r="F288" s="1">
        <v>1.0</v>
      </c>
      <c r="G288" s="1">
        <v>0.5</v>
      </c>
      <c r="H288" s="1">
        <v>0.322175732217573</v>
      </c>
      <c r="I288" s="1" t="s">
        <v>1856</v>
      </c>
      <c r="J288" s="1">
        <v>1.0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 t="s">
        <v>1469</v>
      </c>
      <c r="S288" s="1">
        <v>0.0521897947631854</v>
      </c>
    </row>
    <row r="289" ht="15.75" customHeight="1">
      <c r="A289" s="1" t="s">
        <v>1857</v>
      </c>
      <c r="B289" s="1" t="s">
        <v>1858</v>
      </c>
      <c r="C289" s="1" t="s">
        <v>1859</v>
      </c>
      <c r="D289" s="1" t="s">
        <v>72</v>
      </c>
      <c r="E289" s="1">
        <v>2022.0</v>
      </c>
      <c r="F289" s="1">
        <v>1.0</v>
      </c>
      <c r="G289" s="1">
        <v>0.333333333333333</v>
      </c>
      <c r="H289" s="1">
        <v>0.177464788732394</v>
      </c>
      <c r="I289" s="1" t="s">
        <v>1860</v>
      </c>
      <c r="J289" s="1">
        <v>0.597716065403582</v>
      </c>
      <c r="K289" s="1">
        <v>0.402283934596418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 t="s">
        <v>1469</v>
      </c>
      <c r="S289" s="1">
        <v>0.0918750882663737</v>
      </c>
    </row>
    <row r="290" ht="15.75" customHeight="1">
      <c r="A290" s="1" t="s">
        <v>1861</v>
      </c>
      <c r="B290" s="1" t="s">
        <v>1862</v>
      </c>
      <c r="C290" s="1" t="s">
        <v>1863</v>
      </c>
      <c r="D290" s="1" t="s">
        <v>338</v>
      </c>
      <c r="E290" s="1">
        <v>2022.0</v>
      </c>
      <c r="F290" s="1">
        <v>1.0</v>
      </c>
      <c r="G290" s="1">
        <v>0.333333333333333</v>
      </c>
      <c r="H290" s="1">
        <v>0.177464788732394</v>
      </c>
      <c r="I290" s="1" t="s">
        <v>1864</v>
      </c>
      <c r="J290" s="1">
        <v>0.506578947368421</v>
      </c>
      <c r="K290" s="1">
        <v>0.0</v>
      </c>
      <c r="L290" s="1">
        <v>0.24671052631579</v>
      </c>
      <c r="M290" s="1">
        <v>0.24671052631579</v>
      </c>
      <c r="N290" s="1">
        <v>0.0</v>
      </c>
      <c r="O290" s="1">
        <v>0.0</v>
      </c>
      <c r="P290" s="1">
        <v>0.0</v>
      </c>
      <c r="Q290" s="1">
        <v>0.0</v>
      </c>
      <c r="R290" s="1" t="s">
        <v>1469</v>
      </c>
      <c r="S290" s="1">
        <v>0.0653511185660565</v>
      </c>
    </row>
    <row r="291" ht="15.75" customHeight="1">
      <c r="A291" s="1" t="s">
        <v>1865</v>
      </c>
      <c r="B291" s="1" t="s">
        <v>1866</v>
      </c>
      <c r="C291" s="1" t="s">
        <v>1867</v>
      </c>
      <c r="D291" s="1" t="s">
        <v>109</v>
      </c>
      <c r="E291" s="1">
        <v>2021.0</v>
      </c>
      <c r="F291" s="1">
        <v>1.0</v>
      </c>
      <c r="G291" s="1">
        <v>0.25</v>
      </c>
      <c r="H291" s="1">
        <v>0.0822784810126582</v>
      </c>
      <c r="I291" s="1" t="s">
        <v>1868</v>
      </c>
      <c r="J291" s="1">
        <v>1.0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 t="s">
        <v>1469</v>
      </c>
      <c r="S291" s="1">
        <v>0.054826190077946</v>
      </c>
    </row>
    <row r="292" ht="15.75" customHeight="1">
      <c r="A292" s="1" t="s">
        <v>1869</v>
      </c>
      <c r="B292" s="1" t="s">
        <v>1323</v>
      </c>
      <c r="C292" s="1" t="s">
        <v>1870</v>
      </c>
      <c r="D292" s="1" t="s">
        <v>286</v>
      </c>
      <c r="E292" s="1">
        <v>2018.0</v>
      </c>
      <c r="F292" s="1">
        <v>1.0</v>
      </c>
      <c r="G292" s="1">
        <v>0.142857142857143</v>
      </c>
      <c r="H292" s="1">
        <v>0.0782312925170068</v>
      </c>
      <c r="I292" s="1" t="s">
        <v>1871</v>
      </c>
      <c r="J292" s="1">
        <v>0.897189856065798</v>
      </c>
      <c r="K292" s="1">
        <v>0.0</v>
      </c>
      <c r="L292" s="1">
        <v>0.0</v>
      </c>
      <c r="M292" s="1">
        <v>0.0</v>
      </c>
      <c r="N292" s="1">
        <v>0.102810143934202</v>
      </c>
      <c r="O292" s="1">
        <v>0.0</v>
      </c>
      <c r="P292" s="1">
        <v>0.0</v>
      </c>
      <c r="Q292" s="1">
        <v>0.0</v>
      </c>
      <c r="R292" s="1" t="s">
        <v>1469</v>
      </c>
      <c r="S292" s="1">
        <v>0.0691139705130383</v>
      </c>
    </row>
    <row r="293" ht="15.75" customHeight="1">
      <c r="A293" s="1" t="s">
        <v>1872</v>
      </c>
      <c r="B293" s="1" t="s">
        <v>1873</v>
      </c>
      <c r="C293" s="1" t="s">
        <v>1874</v>
      </c>
      <c r="D293" s="1" t="s">
        <v>66</v>
      </c>
      <c r="E293" s="1">
        <v>2013.0</v>
      </c>
      <c r="F293" s="1">
        <v>1.0</v>
      </c>
      <c r="G293" s="1">
        <v>0.0833333333333333</v>
      </c>
      <c r="H293" s="1">
        <v>0.3125</v>
      </c>
      <c r="I293" s="1" t="s">
        <v>1875</v>
      </c>
      <c r="J293" s="1">
        <v>0.606299212598425</v>
      </c>
      <c r="K293" s="1">
        <v>0.0</v>
      </c>
      <c r="L293" s="1">
        <v>0.0</v>
      </c>
      <c r="M293" s="1">
        <v>0.0</v>
      </c>
      <c r="N293" s="1">
        <v>0.0</v>
      </c>
      <c r="O293" s="1">
        <v>0.393700787401575</v>
      </c>
      <c r="P293" s="1">
        <v>0.0</v>
      </c>
      <c r="Q293" s="1">
        <v>0.0</v>
      </c>
      <c r="R293" s="1" t="s">
        <v>1469</v>
      </c>
      <c r="S293" s="1">
        <v>0.0578017328233646</v>
      </c>
    </row>
    <row r="294" ht="15.75" customHeight="1">
      <c r="A294" s="1" t="s">
        <v>1876</v>
      </c>
      <c r="B294" s="1" t="s">
        <v>1877</v>
      </c>
      <c r="C294" s="1" t="s">
        <v>1878</v>
      </c>
      <c r="D294" s="1" t="s">
        <v>81</v>
      </c>
      <c r="E294" s="1">
        <v>2024.0</v>
      </c>
      <c r="F294" s="1">
        <v>0.0</v>
      </c>
      <c r="G294" s="1">
        <v>0.0</v>
      </c>
      <c r="H294" s="1">
        <v>0.0</v>
      </c>
      <c r="I294" s="1" t="s">
        <v>1879</v>
      </c>
      <c r="J294" s="1">
        <v>0.75</v>
      </c>
      <c r="K294" s="1">
        <v>0.0</v>
      </c>
      <c r="L294" s="1">
        <v>0.0</v>
      </c>
      <c r="M294" s="1">
        <v>0.0</v>
      </c>
      <c r="N294" s="1">
        <v>0.25</v>
      </c>
      <c r="O294" s="1">
        <v>0.0</v>
      </c>
      <c r="P294" s="1">
        <v>0.0</v>
      </c>
      <c r="Q294" s="1">
        <v>0.0</v>
      </c>
      <c r="R294" s="1" t="s">
        <v>1469</v>
      </c>
      <c r="S294" s="1">
        <v>0.0363751170544458</v>
      </c>
    </row>
    <row r="295" ht="15.75" customHeight="1">
      <c r="A295" s="1" t="s">
        <v>1880</v>
      </c>
      <c r="B295" s="1" t="s">
        <v>1881</v>
      </c>
      <c r="C295" s="1" t="s">
        <v>1882</v>
      </c>
      <c r="D295" s="1" t="s">
        <v>105</v>
      </c>
      <c r="E295" s="1">
        <v>2024.0</v>
      </c>
      <c r="F295" s="1">
        <v>0.0</v>
      </c>
      <c r="G295" s="1">
        <v>0.0</v>
      </c>
      <c r="H295" s="1">
        <v>0.0</v>
      </c>
      <c r="I295" s="1" t="s">
        <v>1883</v>
      </c>
      <c r="J295" s="1">
        <v>1.0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 t="s">
        <v>1469</v>
      </c>
      <c r="S295" s="1">
        <v>0.0275910513741944</v>
      </c>
    </row>
    <row r="296" ht="15.75" customHeight="1">
      <c r="A296" s="1" t="s">
        <v>1884</v>
      </c>
      <c r="B296" s="1" t="s">
        <v>1885</v>
      </c>
      <c r="C296" s="1" t="s">
        <v>1886</v>
      </c>
      <c r="D296" s="1" t="s">
        <v>64</v>
      </c>
      <c r="E296" s="1">
        <v>2023.0</v>
      </c>
      <c r="F296" s="1">
        <v>0.0</v>
      </c>
      <c r="G296" s="1">
        <v>0.0</v>
      </c>
      <c r="H296" s="1">
        <v>0.0</v>
      </c>
      <c r="I296" s="1" t="s">
        <v>1887</v>
      </c>
      <c r="J296" s="1">
        <v>1.0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 t="s">
        <v>1469</v>
      </c>
      <c r="S296" s="1">
        <v>0.00281916068290565</v>
      </c>
    </row>
    <row r="297" ht="15.75" customHeight="1">
      <c r="A297" s="1" t="s">
        <v>1888</v>
      </c>
      <c r="B297" s="1" t="s">
        <v>1889</v>
      </c>
      <c r="C297" s="1" t="s">
        <v>1890</v>
      </c>
      <c r="D297" s="1" t="s">
        <v>264</v>
      </c>
      <c r="E297" s="1">
        <v>2024.0</v>
      </c>
      <c r="F297" s="1">
        <v>0.0</v>
      </c>
      <c r="G297" s="1">
        <v>0.0</v>
      </c>
      <c r="H297" s="1">
        <v>0.0</v>
      </c>
      <c r="I297" s="1" t="s">
        <v>1891</v>
      </c>
      <c r="J297" s="1">
        <v>1.0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 t="s">
        <v>1469</v>
      </c>
      <c r="S297" s="1">
        <v>0.0863112153216109</v>
      </c>
    </row>
    <row r="298" ht="15.75" customHeight="1">
      <c r="A298" s="1" t="s">
        <v>1892</v>
      </c>
      <c r="B298" s="1" t="s">
        <v>1893</v>
      </c>
      <c r="C298" s="1" t="s">
        <v>1894</v>
      </c>
      <c r="D298" s="1" t="s">
        <v>62</v>
      </c>
      <c r="E298" s="1">
        <v>2022.0</v>
      </c>
      <c r="F298" s="1">
        <v>0.0</v>
      </c>
      <c r="G298" s="1">
        <v>0.0</v>
      </c>
      <c r="H298" s="1">
        <v>0.0</v>
      </c>
      <c r="I298" s="1" t="s">
        <v>1895</v>
      </c>
      <c r="J298" s="1">
        <v>1.0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 t="s">
        <v>1469</v>
      </c>
      <c r="S298" s="1">
        <v>0.0670187534208122</v>
      </c>
    </row>
    <row r="299" ht="15.75" customHeight="1">
      <c r="A299" s="1" t="s">
        <v>1896</v>
      </c>
      <c r="B299" s="1" t="s">
        <v>1897</v>
      </c>
      <c r="C299" s="1" t="s">
        <v>1898</v>
      </c>
      <c r="D299" s="1" t="s">
        <v>64</v>
      </c>
      <c r="E299" s="1">
        <v>2023.0</v>
      </c>
      <c r="F299" s="1">
        <v>0.0</v>
      </c>
      <c r="G299" s="1">
        <v>0.0</v>
      </c>
      <c r="H299" s="1">
        <v>0.0</v>
      </c>
      <c r="I299" s="1" t="s">
        <v>1899</v>
      </c>
      <c r="J299" s="1">
        <v>1.0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 t="s">
        <v>1469</v>
      </c>
      <c r="S299" s="1">
        <v>0.0359935807755883</v>
      </c>
    </row>
    <row r="300" ht="15.75" customHeight="1">
      <c r="A300" s="1" t="s">
        <v>1900</v>
      </c>
      <c r="B300" s="1" t="s">
        <v>1901</v>
      </c>
      <c r="C300" s="1" t="s">
        <v>1902</v>
      </c>
      <c r="D300" s="1" t="s">
        <v>97</v>
      </c>
      <c r="E300" s="1">
        <v>2024.0</v>
      </c>
      <c r="F300" s="1">
        <v>0.0</v>
      </c>
      <c r="G300" s="1">
        <v>0.0</v>
      </c>
      <c r="H300" s="1">
        <v>0.0</v>
      </c>
      <c r="I300" s="1" t="s">
        <v>1903</v>
      </c>
      <c r="J300" s="1">
        <v>1.0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 t="s">
        <v>1469</v>
      </c>
      <c r="S300" s="1">
        <v>0.0521897947631854</v>
      </c>
    </row>
    <row r="301" ht="15.75" customHeight="1">
      <c r="A301" s="1" t="s">
        <v>1904</v>
      </c>
      <c r="B301" s="1" t="s">
        <v>1905</v>
      </c>
      <c r="C301" s="1" t="s">
        <v>1906</v>
      </c>
      <c r="D301" s="1" t="s">
        <v>87</v>
      </c>
      <c r="E301" s="1">
        <v>2024.0</v>
      </c>
      <c r="F301" s="1">
        <v>0.0</v>
      </c>
      <c r="G301" s="1">
        <v>0.0</v>
      </c>
      <c r="H301" s="1">
        <v>0.0</v>
      </c>
      <c r="I301" s="1" t="s">
        <v>1907</v>
      </c>
      <c r="J301" s="1">
        <v>1.0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 t="s">
        <v>1469</v>
      </c>
      <c r="S301" s="1">
        <v>0.0521897947631854</v>
      </c>
    </row>
    <row r="302" ht="15.75" customHeight="1">
      <c r="A302" s="1" t="s">
        <v>1908</v>
      </c>
      <c r="B302" s="1" t="s">
        <v>1909</v>
      </c>
      <c r="C302" s="1" t="s">
        <v>1910</v>
      </c>
      <c r="D302" s="1" t="s">
        <v>66</v>
      </c>
      <c r="E302" s="1">
        <v>2024.0</v>
      </c>
      <c r="F302" s="1">
        <v>0.0</v>
      </c>
      <c r="G302" s="1">
        <v>0.0</v>
      </c>
      <c r="H302" s="1">
        <v>0.0</v>
      </c>
      <c r="I302" s="1" t="s">
        <v>1911</v>
      </c>
      <c r="J302" s="1">
        <v>1.0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 t="s">
        <v>1469</v>
      </c>
      <c r="S302" s="1">
        <v>0.0797808461373797</v>
      </c>
    </row>
    <row r="303" ht="15.75" customHeight="1">
      <c r="A303" s="1" t="s">
        <v>1912</v>
      </c>
      <c r="B303" s="1" t="s">
        <v>1913</v>
      </c>
      <c r="C303" s="1" t="s">
        <v>1914</v>
      </c>
      <c r="D303" s="1" t="s">
        <v>110</v>
      </c>
      <c r="E303" s="1">
        <v>2024.0</v>
      </c>
      <c r="F303" s="1">
        <v>0.0</v>
      </c>
      <c r="G303" s="1">
        <v>0.0</v>
      </c>
      <c r="H303" s="1">
        <v>0.0</v>
      </c>
      <c r="I303" s="1" t="s">
        <v>1915</v>
      </c>
      <c r="J303" s="1">
        <v>0.6</v>
      </c>
      <c r="K303" s="1">
        <v>0.4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 t="s">
        <v>1469</v>
      </c>
      <c r="S303" s="1">
        <v>0.0054693770378606</v>
      </c>
    </row>
    <row r="304" ht="15.75" customHeight="1">
      <c r="A304" s="1" t="s">
        <v>1916</v>
      </c>
      <c r="B304" s="1" t="s">
        <v>1917</v>
      </c>
      <c r="C304" s="1" t="s">
        <v>1918</v>
      </c>
      <c r="D304" s="1" t="s">
        <v>241</v>
      </c>
      <c r="E304" s="1">
        <v>2024.0</v>
      </c>
      <c r="F304" s="1">
        <v>0.0</v>
      </c>
      <c r="G304" s="1">
        <v>0.0</v>
      </c>
      <c r="H304" s="1">
        <v>0.0</v>
      </c>
      <c r="I304" s="1" t="s">
        <v>1919</v>
      </c>
      <c r="J304" s="1">
        <v>0.96</v>
      </c>
      <c r="K304" s="1">
        <v>0.04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 t="s">
        <v>1469</v>
      </c>
      <c r="S304" s="1">
        <v>0.0688547938753839</v>
      </c>
    </row>
    <row r="305" ht="15.75" customHeight="1">
      <c r="A305" s="1" t="s">
        <v>1920</v>
      </c>
      <c r="B305" s="1" t="s">
        <v>1921</v>
      </c>
      <c r="C305" s="1" t="s">
        <v>1922</v>
      </c>
      <c r="D305" s="1" t="s">
        <v>258</v>
      </c>
      <c r="E305" s="1">
        <v>2023.0</v>
      </c>
      <c r="F305" s="1">
        <v>0.0</v>
      </c>
      <c r="G305" s="1">
        <v>0.0</v>
      </c>
      <c r="H305" s="1">
        <v>0.0</v>
      </c>
      <c r="I305" s="1" t="s">
        <v>1923</v>
      </c>
      <c r="J305" s="1">
        <v>0.672489082969432</v>
      </c>
      <c r="K305" s="1">
        <v>0.0</v>
      </c>
      <c r="L305" s="1">
        <v>0.327510917030568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 t="s">
        <v>1469</v>
      </c>
      <c r="S305" s="1">
        <v>0.0599852251514549</v>
      </c>
    </row>
    <row r="306" ht="15.75" customHeight="1">
      <c r="A306" s="1" t="s">
        <v>1924</v>
      </c>
      <c r="B306" s="1" t="s">
        <v>1925</v>
      </c>
      <c r="C306" s="1" t="s">
        <v>1926</v>
      </c>
      <c r="D306" s="1" t="s">
        <v>70</v>
      </c>
      <c r="E306" s="1">
        <v>2023.0</v>
      </c>
      <c r="F306" s="1">
        <v>0.0</v>
      </c>
      <c r="G306" s="1">
        <v>0.0</v>
      </c>
      <c r="H306" s="1">
        <v>0.0</v>
      </c>
      <c r="I306" s="1" t="s">
        <v>1927</v>
      </c>
      <c r="J306" s="1">
        <v>0.833333333333333</v>
      </c>
      <c r="K306" s="1">
        <v>0.0</v>
      </c>
      <c r="L306" s="1">
        <v>0.0</v>
      </c>
      <c r="M306" s="1">
        <v>0.0</v>
      </c>
      <c r="N306" s="1">
        <v>0.166666666666667</v>
      </c>
      <c r="O306" s="1">
        <v>0.0</v>
      </c>
      <c r="P306" s="1">
        <v>0.0</v>
      </c>
      <c r="Q306" s="1">
        <v>0.0</v>
      </c>
      <c r="R306" s="1" t="s">
        <v>1469</v>
      </c>
      <c r="S306" s="1">
        <v>0.0103578469912416</v>
      </c>
    </row>
    <row r="307" ht="15.75" customHeight="1">
      <c r="A307" s="1" t="s">
        <v>1928</v>
      </c>
      <c r="B307" s="1" t="s">
        <v>1929</v>
      </c>
      <c r="C307" s="1" t="s">
        <v>1930</v>
      </c>
      <c r="D307" s="1" t="s">
        <v>66</v>
      </c>
      <c r="E307" s="1">
        <v>2014.0</v>
      </c>
      <c r="F307" s="1">
        <v>0.0</v>
      </c>
      <c r="G307" s="1">
        <v>0.0</v>
      </c>
      <c r="H307" s="1">
        <v>0.0</v>
      </c>
      <c r="I307" s="1" t="s">
        <v>1931</v>
      </c>
      <c r="J307" s="1">
        <v>1.0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 t="s">
        <v>1469</v>
      </c>
      <c r="S307" s="1">
        <v>0.0538653971210685</v>
      </c>
    </row>
    <row r="308" ht="15.75" customHeight="1">
      <c r="A308" s="1" t="s">
        <v>1932</v>
      </c>
      <c r="B308" s="1" t="s">
        <v>1933</v>
      </c>
      <c r="C308" s="1" t="s">
        <v>1934</v>
      </c>
      <c r="D308" s="1" t="s">
        <v>235</v>
      </c>
      <c r="E308" s="1">
        <v>2012.0</v>
      </c>
      <c r="F308" s="1">
        <v>0.0</v>
      </c>
      <c r="G308" s="1">
        <v>0.0</v>
      </c>
      <c r="H308" s="1">
        <v>0.0</v>
      </c>
      <c r="I308" s="1" t="s">
        <v>1935</v>
      </c>
      <c r="J308" s="1">
        <v>1.0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 t="s">
        <v>1469</v>
      </c>
      <c r="S308" s="1">
        <v>0.0521897947631854</v>
      </c>
    </row>
    <row r="309" ht="15.75" customHeight="1">
      <c r="A309" s="1" t="s">
        <v>1936</v>
      </c>
      <c r="B309" s="1" t="s">
        <v>1937</v>
      </c>
      <c r="C309" s="1" t="s">
        <v>1938</v>
      </c>
      <c r="D309" s="1" t="s">
        <v>184</v>
      </c>
      <c r="E309" s="1">
        <v>2015.0</v>
      </c>
      <c r="F309" s="1">
        <v>209.0</v>
      </c>
      <c r="G309" s="1">
        <v>20.9</v>
      </c>
      <c r="H309" s="1">
        <v>9.54822335025381</v>
      </c>
      <c r="I309" s="1" t="s">
        <v>1939</v>
      </c>
      <c r="J309" s="1">
        <v>0.0</v>
      </c>
      <c r="K309" s="1">
        <v>0.0</v>
      </c>
      <c r="L309" s="1">
        <v>0.0</v>
      </c>
      <c r="M309" s="1">
        <v>0.0</v>
      </c>
      <c r="N309" s="1">
        <v>1.0</v>
      </c>
      <c r="O309" s="1">
        <v>0.0</v>
      </c>
      <c r="P309" s="1">
        <v>0.0</v>
      </c>
      <c r="Q309" s="1">
        <v>0.0</v>
      </c>
      <c r="R309" s="1" t="s">
        <v>1553</v>
      </c>
      <c r="S309" s="1">
        <v>0.0263194126729494</v>
      </c>
    </row>
    <row r="310" ht="15.75" customHeight="1">
      <c r="A310" s="1" t="s">
        <v>1940</v>
      </c>
      <c r="B310" s="1" t="s">
        <v>1941</v>
      </c>
      <c r="C310" s="1" t="s">
        <v>1942</v>
      </c>
      <c r="D310" s="1" t="s">
        <v>324</v>
      </c>
      <c r="E310" s="1">
        <v>2020.0</v>
      </c>
      <c r="F310" s="1">
        <v>60.0</v>
      </c>
      <c r="G310" s="1">
        <v>12.0</v>
      </c>
      <c r="H310" s="1">
        <v>2.82352941176471</v>
      </c>
      <c r="I310" s="1" t="s">
        <v>1943</v>
      </c>
      <c r="J310" s="1">
        <v>0.0</v>
      </c>
      <c r="K310" s="1">
        <v>0.0</v>
      </c>
      <c r="L310" s="1">
        <v>0.0</v>
      </c>
      <c r="M310" s="1">
        <v>0.0</v>
      </c>
      <c r="N310" s="1">
        <v>1.0</v>
      </c>
      <c r="O310" s="1">
        <v>0.0</v>
      </c>
      <c r="P310" s="1">
        <v>0.0</v>
      </c>
      <c r="Q310" s="1">
        <v>0.0</v>
      </c>
      <c r="R310" s="1" t="s">
        <v>1553</v>
      </c>
      <c r="S310" s="1">
        <v>0.0170770799799654</v>
      </c>
    </row>
    <row r="311" ht="15.75" customHeight="1">
      <c r="A311" s="1" t="s">
        <v>1944</v>
      </c>
      <c r="B311" s="1" t="s">
        <v>1945</v>
      </c>
      <c r="C311" s="1" t="s">
        <v>1946</v>
      </c>
      <c r="D311" s="1" t="s">
        <v>62</v>
      </c>
      <c r="E311" s="1">
        <v>2021.0</v>
      </c>
      <c r="F311" s="1">
        <v>43.0</v>
      </c>
      <c r="G311" s="1">
        <v>10.75</v>
      </c>
      <c r="H311" s="1">
        <v>3.5379746835443</v>
      </c>
      <c r="I311" s="1" t="s">
        <v>1947</v>
      </c>
      <c r="J311" s="1">
        <v>0.0</v>
      </c>
      <c r="K311" s="1">
        <v>0.175977653631285</v>
      </c>
      <c r="L311" s="1">
        <v>0.0</v>
      </c>
      <c r="M311" s="1">
        <v>0.0</v>
      </c>
      <c r="N311" s="1">
        <v>0.824022346368715</v>
      </c>
      <c r="O311" s="1">
        <v>0.0</v>
      </c>
      <c r="P311" s="1">
        <v>0.0</v>
      </c>
      <c r="Q311" s="1">
        <v>0.0</v>
      </c>
      <c r="R311" s="1" t="s">
        <v>1553</v>
      </c>
      <c r="S311" s="1">
        <v>0.0421242777102995</v>
      </c>
    </row>
    <row r="312" ht="15.75" customHeight="1">
      <c r="A312" s="1" t="s">
        <v>1948</v>
      </c>
      <c r="B312" s="1" t="s">
        <v>1949</v>
      </c>
      <c r="C312" s="1" t="s">
        <v>1950</v>
      </c>
      <c r="D312" s="1" t="s">
        <v>183</v>
      </c>
      <c r="E312" s="1">
        <v>2017.0</v>
      </c>
      <c r="F312" s="1">
        <v>37.0</v>
      </c>
      <c r="G312" s="1">
        <v>4.625</v>
      </c>
      <c r="H312" s="1">
        <v>2.90575916230366</v>
      </c>
      <c r="I312" s="1" t="s">
        <v>1951</v>
      </c>
      <c r="J312" s="1">
        <v>0.0</v>
      </c>
      <c r="K312" s="1">
        <v>0.157894736842105</v>
      </c>
      <c r="L312" s="1">
        <v>0.0</v>
      </c>
      <c r="M312" s="1">
        <v>0.0</v>
      </c>
      <c r="N312" s="1">
        <v>0.842105263157895</v>
      </c>
      <c r="O312" s="1">
        <v>0.0</v>
      </c>
      <c r="P312" s="1">
        <v>0.0</v>
      </c>
      <c r="Q312" s="1">
        <v>0.0</v>
      </c>
      <c r="R312" s="1" t="s">
        <v>1553</v>
      </c>
      <c r="S312" s="1">
        <v>0.0193959566459236</v>
      </c>
    </row>
    <row r="313" ht="15.75" customHeight="1">
      <c r="A313" s="1" t="s">
        <v>1952</v>
      </c>
      <c r="B313" s="1" t="s">
        <v>690</v>
      </c>
      <c r="C313" s="1" t="s">
        <v>1953</v>
      </c>
      <c r="D313" s="1" t="s">
        <v>70</v>
      </c>
      <c r="E313" s="1">
        <v>2015.0</v>
      </c>
      <c r="F313" s="1">
        <v>36.0</v>
      </c>
      <c r="G313" s="1">
        <v>3.6</v>
      </c>
      <c r="H313" s="1">
        <v>1.64467005076142</v>
      </c>
      <c r="I313" s="1" t="s">
        <v>1954</v>
      </c>
      <c r="J313" s="1">
        <v>0.127906976744186</v>
      </c>
      <c r="K313" s="1">
        <v>0.0</v>
      </c>
      <c r="L313" s="1">
        <v>0.0</v>
      </c>
      <c r="M313" s="1">
        <v>0.0</v>
      </c>
      <c r="N313" s="1">
        <v>0.872093023255814</v>
      </c>
      <c r="O313" s="1">
        <v>0.0</v>
      </c>
      <c r="P313" s="1">
        <v>0.0</v>
      </c>
      <c r="Q313" s="1">
        <v>0.0</v>
      </c>
      <c r="R313" s="1" t="s">
        <v>1553</v>
      </c>
      <c r="S313" s="1">
        <v>0.0604924203247741</v>
      </c>
    </row>
    <row r="314" ht="15.75" customHeight="1">
      <c r="A314" s="1" t="s">
        <v>1955</v>
      </c>
      <c r="B314" s="1" t="s">
        <v>1956</v>
      </c>
      <c r="C314" s="1" t="s">
        <v>1957</v>
      </c>
      <c r="D314" s="1" t="s">
        <v>70</v>
      </c>
      <c r="E314" s="1">
        <v>2019.0</v>
      </c>
      <c r="F314" s="1">
        <v>30.0</v>
      </c>
      <c r="G314" s="1">
        <v>5.0</v>
      </c>
      <c r="H314" s="1">
        <v>3.36633663366337</v>
      </c>
      <c r="I314" s="1" t="s">
        <v>1958</v>
      </c>
      <c r="J314" s="1">
        <v>0.0</v>
      </c>
      <c r="K314" s="1">
        <v>0.0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1">
        <v>0.0</v>
      </c>
      <c r="R314" s="1" t="s">
        <v>1553</v>
      </c>
      <c r="S314" s="1">
        <v>0.0121416808734856</v>
      </c>
    </row>
    <row r="315" ht="15.75" customHeight="1">
      <c r="A315" s="1" t="s">
        <v>1959</v>
      </c>
      <c r="B315" s="1" t="s">
        <v>363</v>
      </c>
      <c r="C315" s="1" t="s">
        <v>1960</v>
      </c>
      <c r="D315" s="1" t="s">
        <v>157</v>
      </c>
      <c r="E315" s="1">
        <v>2015.0</v>
      </c>
      <c r="F315" s="1">
        <v>26.0</v>
      </c>
      <c r="G315" s="1">
        <v>2.6</v>
      </c>
      <c r="H315" s="1">
        <v>1.18781725888325</v>
      </c>
      <c r="I315" s="1" t="s">
        <v>1961</v>
      </c>
      <c r="J315" s="1">
        <v>0.025974025974026</v>
      </c>
      <c r="K315" s="1">
        <v>0.0</v>
      </c>
      <c r="L315" s="1">
        <v>0.0</v>
      </c>
      <c r="M315" s="1">
        <v>0.0</v>
      </c>
      <c r="N315" s="1">
        <v>0.974025974025974</v>
      </c>
      <c r="O315" s="1">
        <v>0.0</v>
      </c>
      <c r="P315" s="1">
        <v>0.0</v>
      </c>
      <c r="Q315" s="1">
        <v>0.0</v>
      </c>
      <c r="R315" s="1" t="s">
        <v>1553</v>
      </c>
      <c r="S315" s="1">
        <v>0.054813354434961</v>
      </c>
    </row>
    <row r="316" ht="15.75" customHeight="1">
      <c r="A316" s="1" t="s">
        <v>1962</v>
      </c>
      <c r="B316" s="1" t="s">
        <v>1963</v>
      </c>
      <c r="C316" s="1" t="s">
        <v>1964</v>
      </c>
      <c r="D316" s="1" t="s">
        <v>244</v>
      </c>
      <c r="E316" s="1">
        <v>2020.0</v>
      </c>
      <c r="F316" s="1">
        <v>25.0</v>
      </c>
      <c r="G316" s="1">
        <v>5.0</v>
      </c>
      <c r="H316" s="1">
        <v>1.17647058823529</v>
      </c>
      <c r="I316" s="1" t="s">
        <v>1965</v>
      </c>
      <c r="J316" s="1">
        <v>0.0</v>
      </c>
      <c r="K316" s="1">
        <v>0.0</v>
      </c>
      <c r="L316" s="1">
        <v>0.0</v>
      </c>
      <c r="M316" s="1">
        <v>0.0</v>
      </c>
      <c r="N316" s="1">
        <v>0.794520547945206</v>
      </c>
      <c r="O316" s="1">
        <v>0.205479452054795</v>
      </c>
      <c r="P316" s="1">
        <v>0.0</v>
      </c>
      <c r="Q316" s="1">
        <v>0.0</v>
      </c>
      <c r="R316" s="1" t="s">
        <v>1553</v>
      </c>
      <c r="S316" s="1">
        <v>0.0413574412414728</v>
      </c>
    </row>
    <row r="317" ht="15.75" customHeight="1">
      <c r="A317" s="1" t="s">
        <v>1966</v>
      </c>
      <c r="B317" s="1" t="s">
        <v>1967</v>
      </c>
      <c r="C317" s="1" t="s">
        <v>1968</v>
      </c>
      <c r="D317" s="1" t="s">
        <v>115</v>
      </c>
      <c r="E317" s="1">
        <v>2018.0</v>
      </c>
      <c r="F317" s="1">
        <v>25.0</v>
      </c>
      <c r="G317" s="1">
        <v>3.57142857142857</v>
      </c>
      <c r="H317" s="1">
        <v>1.95578231292517</v>
      </c>
      <c r="I317" s="1" t="s">
        <v>1969</v>
      </c>
      <c r="J317" s="1">
        <v>0.0</v>
      </c>
      <c r="K317" s="1">
        <v>0.0</v>
      </c>
      <c r="L317" s="1">
        <v>0.0</v>
      </c>
      <c r="M317" s="1">
        <v>0.0</v>
      </c>
      <c r="N317" s="1">
        <v>1.0</v>
      </c>
      <c r="O317" s="1">
        <v>0.0</v>
      </c>
      <c r="P317" s="1">
        <v>0.0</v>
      </c>
      <c r="Q317" s="1">
        <v>0.0</v>
      </c>
      <c r="R317" s="1" t="s">
        <v>1553</v>
      </c>
      <c r="S317" s="1">
        <v>0.0317826205767679</v>
      </c>
    </row>
    <row r="318" ht="15.75" customHeight="1">
      <c r="A318" s="1" t="s">
        <v>1970</v>
      </c>
      <c r="B318" s="1" t="s">
        <v>1971</v>
      </c>
      <c r="C318" s="1" t="s">
        <v>1972</v>
      </c>
      <c r="D318" s="1" t="s">
        <v>73</v>
      </c>
      <c r="E318" s="1">
        <v>2017.0</v>
      </c>
      <c r="F318" s="1">
        <v>23.0</v>
      </c>
      <c r="G318" s="1">
        <v>2.875</v>
      </c>
      <c r="H318" s="1">
        <v>1.80628272251309</v>
      </c>
      <c r="I318" s="1" t="s">
        <v>1973</v>
      </c>
      <c r="J318" s="1">
        <v>0.135135135135135</v>
      </c>
      <c r="K318" s="1">
        <v>0.0</v>
      </c>
      <c r="L318" s="1">
        <v>0.0</v>
      </c>
      <c r="M318" s="1">
        <v>0.0</v>
      </c>
      <c r="N318" s="1">
        <v>0.864864864864865</v>
      </c>
      <c r="O318" s="1">
        <v>0.0</v>
      </c>
      <c r="P318" s="1">
        <v>0.0</v>
      </c>
      <c r="Q318" s="1">
        <v>0.0</v>
      </c>
      <c r="R318" s="1" t="s">
        <v>1553</v>
      </c>
      <c r="S318" s="1">
        <v>0.0206499630627604</v>
      </c>
    </row>
    <row r="319" ht="15.75" customHeight="1">
      <c r="A319" s="1" t="s">
        <v>1974</v>
      </c>
      <c r="B319" s="1" t="s">
        <v>1975</v>
      </c>
      <c r="C319" s="1" t="s">
        <v>1976</v>
      </c>
      <c r="D319" s="1" t="s">
        <v>198</v>
      </c>
      <c r="E319" s="1">
        <v>2020.0</v>
      </c>
      <c r="F319" s="1">
        <v>23.0</v>
      </c>
      <c r="G319" s="1">
        <v>4.6</v>
      </c>
      <c r="H319" s="1">
        <v>1.08235294117647</v>
      </c>
      <c r="I319" s="1" t="s">
        <v>1977</v>
      </c>
      <c r="J319" s="1">
        <v>0.0</v>
      </c>
      <c r="K319" s="1">
        <v>0.0</v>
      </c>
      <c r="L319" s="1">
        <v>0.0</v>
      </c>
      <c r="M319" s="1">
        <v>0.0</v>
      </c>
      <c r="N319" s="1">
        <v>0.735408560311284</v>
      </c>
      <c r="O319" s="1">
        <v>0.264591439688716</v>
      </c>
      <c r="P319" s="1">
        <v>0.0</v>
      </c>
      <c r="Q319" s="1">
        <v>0.0</v>
      </c>
      <c r="R319" s="1" t="s">
        <v>1553</v>
      </c>
      <c r="S319" s="1">
        <v>0.0261762484593272</v>
      </c>
    </row>
    <row r="320" ht="15.75" customHeight="1">
      <c r="A320" s="1" t="s">
        <v>1978</v>
      </c>
      <c r="B320" s="1" t="s">
        <v>710</v>
      </c>
      <c r="C320" s="1" t="s">
        <v>1979</v>
      </c>
      <c r="D320" s="1" t="s">
        <v>256</v>
      </c>
      <c r="E320" s="1">
        <v>2017.0</v>
      </c>
      <c r="F320" s="1">
        <v>23.0</v>
      </c>
      <c r="G320" s="1">
        <v>2.875</v>
      </c>
      <c r="H320" s="1">
        <v>1.80628272251309</v>
      </c>
      <c r="I320" s="1" t="s">
        <v>1980</v>
      </c>
      <c r="J320" s="1">
        <v>0.0</v>
      </c>
      <c r="K320" s="1">
        <v>0.0</v>
      </c>
      <c r="L320" s="1">
        <v>0.0</v>
      </c>
      <c r="M320" s="1">
        <v>0.0</v>
      </c>
      <c r="N320" s="1">
        <v>1.0</v>
      </c>
      <c r="O320" s="1">
        <v>0.0</v>
      </c>
      <c r="P320" s="1">
        <v>0.0</v>
      </c>
      <c r="Q320" s="1">
        <v>0.0</v>
      </c>
      <c r="R320" s="1" t="s">
        <v>1553</v>
      </c>
      <c r="S320" s="1">
        <v>0.026344481460115</v>
      </c>
    </row>
    <row r="321" ht="15.75" customHeight="1">
      <c r="A321" s="1" t="s">
        <v>1981</v>
      </c>
      <c r="B321" s="1" t="s">
        <v>1982</v>
      </c>
      <c r="C321" s="1" t="s">
        <v>1983</v>
      </c>
      <c r="D321" s="1" t="s">
        <v>229</v>
      </c>
      <c r="E321" s="1">
        <v>2011.0</v>
      </c>
      <c r="F321" s="1">
        <v>21.0</v>
      </c>
      <c r="G321" s="1">
        <v>1.5</v>
      </c>
      <c r="H321" s="1">
        <v>1.09375</v>
      </c>
      <c r="I321" s="1" t="s">
        <v>1984</v>
      </c>
      <c r="J321" s="1">
        <v>0.454545454545454</v>
      </c>
      <c r="K321" s="1">
        <v>0.0</v>
      </c>
      <c r="L321" s="1">
        <v>0.0</v>
      </c>
      <c r="M321" s="1">
        <v>0.0</v>
      </c>
      <c r="N321" s="1">
        <v>0.545454545454545</v>
      </c>
      <c r="O321" s="1">
        <v>0.0</v>
      </c>
      <c r="P321" s="1">
        <v>0.0</v>
      </c>
      <c r="Q321" s="1">
        <v>0.0</v>
      </c>
      <c r="R321" s="1" t="s">
        <v>1553</v>
      </c>
      <c r="S321" s="1">
        <v>0.00936208918722042</v>
      </c>
    </row>
    <row r="322" ht="15.75" customHeight="1">
      <c r="A322" s="1" t="s">
        <v>1985</v>
      </c>
      <c r="B322" s="1" t="s">
        <v>1986</v>
      </c>
      <c r="C322" s="1" t="s">
        <v>1987</v>
      </c>
      <c r="D322" s="1" t="s">
        <v>212</v>
      </c>
      <c r="E322" s="1">
        <v>2020.0</v>
      </c>
      <c r="F322" s="1">
        <v>21.0</v>
      </c>
      <c r="G322" s="1">
        <v>4.2</v>
      </c>
      <c r="H322" s="1">
        <v>0.988235294117647</v>
      </c>
      <c r="I322" s="1" t="s">
        <v>1988</v>
      </c>
      <c r="J322" s="1">
        <v>0.150110375275938</v>
      </c>
      <c r="K322" s="1">
        <v>0.0</v>
      </c>
      <c r="L322" s="1">
        <v>0.187637969094923</v>
      </c>
      <c r="M322" s="1">
        <v>0.0</v>
      </c>
      <c r="N322" s="1">
        <v>0.662251655629139</v>
      </c>
      <c r="O322" s="1">
        <v>0.0</v>
      </c>
      <c r="P322" s="1">
        <v>0.0</v>
      </c>
      <c r="Q322" s="1">
        <v>0.0</v>
      </c>
      <c r="R322" s="1" t="s">
        <v>1553</v>
      </c>
      <c r="S322" s="1">
        <v>0.112174276170775</v>
      </c>
    </row>
    <row r="323" ht="15.75" customHeight="1">
      <c r="A323" s="1" t="s">
        <v>1989</v>
      </c>
      <c r="B323" s="1" t="s">
        <v>1298</v>
      </c>
      <c r="C323" s="1" t="s">
        <v>1990</v>
      </c>
      <c r="D323" s="1" t="s">
        <v>204</v>
      </c>
      <c r="E323" s="1">
        <v>2008.0</v>
      </c>
      <c r="F323" s="1">
        <v>18.0</v>
      </c>
      <c r="G323" s="1">
        <v>1.05882352941176</v>
      </c>
      <c r="H323" s="1">
        <v>1.38461538461538</v>
      </c>
      <c r="I323" s="1" t="s">
        <v>1991</v>
      </c>
      <c r="J323" s="1">
        <v>0.0</v>
      </c>
      <c r="K323" s="1">
        <v>0.0</v>
      </c>
      <c r="L323" s="1">
        <v>0.0</v>
      </c>
      <c r="M323" s="1">
        <v>0.0</v>
      </c>
      <c r="N323" s="1">
        <v>1.0</v>
      </c>
      <c r="O323" s="1">
        <v>0.0</v>
      </c>
      <c r="P323" s="1">
        <v>0.0</v>
      </c>
      <c r="Q323" s="1">
        <v>0.0</v>
      </c>
      <c r="R323" s="1" t="s">
        <v>1553</v>
      </c>
      <c r="S323" s="1">
        <v>0.00377872046873218</v>
      </c>
    </row>
    <row r="324" ht="15.75" customHeight="1">
      <c r="A324" s="1" t="s">
        <v>1992</v>
      </c>
      <c r="B324" s="1" t="s">
        <v>1993</v>
      </c>
      <c r="C324" s="1" t="s">
        <v>1994</v>
      </c>
      <c r="D324" s="1" t="s">
        <v>69</v>
      </c>
      <c r="E324" s="1">
        <v>2023.0</v>
      </c>
      <c r="F324" s="1">
        <v>16.0</v>
      </c>
      <c r="G324" s="1">
        <v>8.0</v>
      </c>
      <c r="H324" s="1">
        <v>5.15481171548117</v>
      </c>
      <c r="I324" s="1" t="s">
        <v>1995</v>
      </c>
      <c r="J324" s="1">
        <v>0.0</v>
      </c>
      <c r="K324" s="1">
        <v>0.450081833060556</v>
      </c>
      <c r="L324" s="1">
        <v>0.0</v>
      </c>
      <c r="M324" s="1">
        <v>0.0</v>
      </c>
      <c r="N324" s="1">
        <v>0.549918166939444</v>
      </c>
      <c r="O324" s="1">
        <v>0.0</v>
      </c>
      <c r="P324" s="1">
        <v>0.0</v>
      </c>
      <c r="Q324" s="1">
        <v>0.0</v>
      </c>
      <c r="R324" s="1" t="s">
        <v>1553</v>
      </c>
      <c r="S324" s="1">
        <v>0.0915854029659633</v>
      </c>
    </row>
    <row r="325" ht="15.75" customHeight="1">
      <c r="A325" s="1" t="s">
        <v>1996</v>
      </c>
      <c r="B325" s="1" t="s">
        <v>1997</v>
      </c>
      <c r="C325" s="1" t="s">
        <v>1998</v>
      </c>
      <c r="D325" s="1" t="s">
        <v>64</v>
      </c>
      <c r="E325" s="1">
        <v>2015.0</v>
      </c>
      <c r="F325" s="1">
        <v>16.0</v>
      </c>
      <c r="G325" s="1">
        <v>1.6</v>
      </c>
      <c r="H325" s="1">
        <v>0.730964467005076</v>
      </c>
      <c r="I325" s="1" t="s">
        <v>1999</v>
      </c>
      <c r="J325" s="1">
        <v>0.0</v>
      </c>
      <c r="K325" s="1">
        <v>0.0</v>
      </c>
      <c r="L325" s="1">
        <v>0.0</v>
      </c>
      <c r="M325" s="1">
        <v>0.0</v>
      </c>
      <c r="N325" s="1">
        <v>1.0</v>
      </c>
      <c r="O325" s="1">
        <v>0.0</v>
      </c>
      <c r="P325" s="1">
        <v>0.0</v>
      </c>
      <c r="Q325" s="1">
        <v>0.0</v>
      </c>
      <c r="R325" s="1" t="s">
        <v>1553</v>
      </c>
      <c r="S325" s="1">
        <v>0.0488510924172092</v>
      </c>
    </row>
    <row r="326" ht="15.75" customHeight="1">
      <c r="A326" s="1" t="s">
        <v>2000</v>
      </c>
      <c r="B326" s="1" t="s">
        <v>2001</v>
      </c>
      <c r="C326" s="1" t="s">
        <v>2002</v>
      </c>
      <c r="D326" s="1" t="s">
        <v>64</v>
      </c>
      <c r="E326" s="1">
        <v>2020.0</v>
      </c>
      <c r="F326" s="1">
        <v>14.0</v>
      </c>
      <c r="G326" s="1">
        <v>2.8</v>
      </c>
      <c r="H326" s="1">
        <v>0.658823529411765</v>
      </c>
      <c r="I326" s="1" t="s">
        <v>2003</v>
      </c>
      <c r="J326" s="1">
        <v>0.0</v>
      </c>
      <c r="K326" s="1">
        <v>0.0</v>
      </c>
      <c r="L326" s="1">
        <v>0.0</v>
      </c>
      <c r="M326" s="1">
        <v>0.0</v>
      </c>
      <c r="N326" s="1">
        <v>1.0</v>
      </c>
      <c r="O326" s="1">
        <v>0.0</v>
      </c>
      <c r="P326" s="1">
        <v>0.0</v>
      </c>
      <c r="Q326" s="1">
        <v>0.0</v>
      </c>
      <c r="R326" s="1" t="s">
        <v>1553</v>
      </c>
      <c r="S326" s="1">
        <v>0.0317255741423988</v>
      </c>
    </row>
    <row r="327" ht="15.75" customHeight="1">
      <c r="A327" s="1" t="s">
        <v>2004</v>
      </c>
      <c r="B327" s="1" t="s">
        <v>2005</v>
      </c>
      <c r="C327" s="1" t="s">
        <v>2006</v>
      </c>
      <c r="D327" s="1" t="s">
        <v>337</v>
      </c>
      <c r="E327" s="1">
        <v>2023.0</v>
      </c>
      <c r="F327" s="1">
        <v>13.0</v>
      </c>
      <c r="G327" s="1">
        <v>6.5</v>
      </c>
      <c r="H327" s="1">
        <v>4.18828451882845</v>
      </c>
      <c r="I327" s="1" t="s">
        <v>2007</v>
      </c>
      <c r="J327" s="1">
        <v>0.0</v>
      </c>
      <c r="K327" s="1">
        <v>0.04</v>
      </c>
      <c r="L327" s="1">
        <v>0.0</v>
      </c>
      <c r="M327" s="1">
        <v>0.0</v>
      </c>
      <c r="N327" s="1">
        <v>0.96</v>
      </c>
      <c r="O327" s="1">
        <v>0.0</v>
      </c>
      <c r="P327" s="1">
        <v>0.0</v>
      </c>
      <c r="Q327" s="1">
        <v>0.0</v>
      </c>
      <c r="R327" s="1" t="s">
        <v>1553</v>
      </c>
      <c r="S327" s="1">
        <v>0.0667631724583493</v>
      </c>
    </row>
    <row r="328" ht="15.75" customHeight="1">
      <c r="A328" s="1" t="s">
        <v>2008</v>
      </c>
      <c r="B328" s="1" t="s">
        <v>2009</v>
      </c>
      <c r="C328" s="1" t="s">
        <v>2010</v>
      </c>
      <c r="D328" s="1" t="s">
        <v>123</v>
      </c>
      <c r="E328" s="1">
        <v>2021.0</v>
      </c>
      <c r="F328" s="1">
        <v>12.0</v>
      </c>
      <c r="G328" s="1">
        <v>3.0</v>
      </c>
      <c r="H328" s="1">
        <v>0.987341772151899</v>
      </c>
      <c r="I328" s="1" t="s">
        <v>2011</v>
      </c>
      <c r="J328" s="1">
        <v>0.0</v>
      </c>
      <c r="K328" s="1">
        <v>0.0</v>
      </c>
      <c r="L328" s="1">
        <v>0.0</v>
      </c>
      <c r="M328" s="1">
        <v>0.18848167539267</v>
      </c>
      <c r="N328" s="1">
        <v>0.81151832460733</v>
      </c>
      <c r="O328" s="1">
        <v>0.0</v>
      </c>
      <c r="P328" s="1">
        <v>0.0</v>
      </c>
      <c r="Q328" s="1">
        <v>0.0</v>
      </c>
      <c r="R328" s="1" t="s">
        <v>1553</v>
      </c>
      <c r="S328" s="1">
        <v>0.0457763066657688</v>
      </c>
    </row>
    <row r="329" ht="15.75" customHeight="1">
      <c r="A329" s="1" t="s">
        <v>2012</v>
      </c>
      <c r="B329" s="1" t="s">
        <v>2013</v>
      </c>
      <c r="C329" s="1" t="s">
        <v>2014</v>
      </c>
      <c r="D329" s="1" t="s">
        <v>128</v>
      </c>
      <c r="E329" s="1">
        <v>2008.0</v>
      </c>
      <c r="F329" s="1">
        <v>11.0</v>
      </c>
      <c r="G329" s="1">
        <v>0.647058823529412</v>
      </c>
      <c r="H329" s="1">
        <v>0.846153846153846</v>
      </c>
      <c r="I329" s="1" t="s">
        <v>2015</v>
      </c>
      <c r="J329" s="1">
        <v>0.0</v>
      </c>
      <c r="K329" s="1">
        <v>0.0</v>
      </c>
      <c r="L329" s="1">
        <v>0.0</v>
      </c>
      <c r="M329" s="1">
        <v>0.0</v>
      </c>
      <c r="N329" s="1">
        <v>1.0</v>
      </c>
      <c r="O329" s="1">
        <v>0.0</v>
      </c>
      <c r="P329" s="1">
        <v>0.0</v>
      </c>
      <c r="Q329" s="1">
        <v>0.0</v>
      </c>
      <c r="R329" s="1" t="s">
        <v>1553</v>
      </c>
      <c r="S329" s="1">
        <v>0.0104170171868053</v>
      </c>
    </row>
    <row r="330" ht="15.75" customHeight="1">
      <c r="A330" s="1" t="s">
        <v>2016</v>
      </c>
      <c r="B330" s="1" t="s">
        <v>2017</v>
      </c>
      <c r="C330" s="1" t="s">
        <v>2018</v>
      </c>
      <c r="D330" s="1" t="s">
        <v>118</v>
      </c>
      <c r="E330" s="1">
        <v>2022.0</v>
      </c>
      <c r="F330" s="1">
        <v>10.0</v>
      </c>
      <c r="G330" s="1">
        <v>3.33333333333333</v>
      </c>
      <c r="H330" s="1">
        <v>1.77464788732394</v>
      </c>
      <c r="I330" s="1" t="s">
        <v>2019</v>
      </c>
      <c r="J330" s="1">
        <v>0.0412979351032448</v>
      </c>
      <c r="K330" s="1">
        <v>0.0</v>
      </c>
      <c r="L330" s="1">
        <v>0.0</v>
      </c>
      <c r="M330" s="1">
        <v>0.0</v>
      </c>
      <c r="N330" s="1">
        <v>0.958702064896755</v>
      </c>
      <c r="O330" s="1">
        <v>0.0</v>
      </c>
      <c r="P330" s="1">
        <v>0.0</v>
      </c>
      <c r="Q330" s="1">
        <v>0.0</v>
      </c>
      <c r="R330" s="1" t="s">
        <v>1553</v>
      </c>
      <c r="S330" s="1">
        <v>0.0654199788140525</v>
      </c>
    </row>
    <row r="331" ht="15.75" customHeight="1">
      <c r="A331" s="1" t="s">
        <v>2020</v>
      </c>
      <c r="B331" s="1" t="s">
        <v>2021</v>
      </c>
      <c r="C331" s="1" t="s">
        <v>2022</v>
      </c>
      <c r="D331" s="1" t="s">
        <v>64</v>
      </c>
      <c r="E331" s="1">
        <v>2017.0</v>
      </c>
      <c r="F331" s="1">
        <v>10.0</v>
      </c>
      <c r="G331" s="1">
        <v>1.25</v>
      </c>
      <c r="H331" s="1">
        <v>0.785340314136126</v>
      </c>
      <c r="I331" s="1" t="s">
        <v>2023</v>
      </c>
      <c r="J331" s="1">
        <v>0.303867403314917</v>
      </c>
      <c r="K331" s="1">
        <v>0.0</v>
      </c>
      <c r="L331" s="1">
        <v>0.0</v>
      </c>
      <c r="M331" s="1">
        <v>0.0</v>
      </c>
      <c r="N331" s="1">
        <v>0.696132596685083</v>
      </c>
      <c r="O331" s="1">
        <v>0.0</v>
      </c>
      <c r="P331" s="1">
        <v>0.0</v>
      </c>
      <c r="Q331" s="1">
        <v>0.0</v>
      </c>
      <c r="R331" s="1" t="s">
        <v>1553</v>
      </c>
      <c r="S331" s="1">
        <v>0.0300012521177468</v>
      </c>
    </row>
    <row r="332" ht="15.75" customHeight="1">
      <c r="A332" s="1" t="s">
        <v>2024</v>
      </c>
      <c r="B332" s="1" t="s">
        <v>796</v>
      </c>
      <c r="C332" s="1" t="s">
        <v>2025</v>
      </c>
      <c r="D332" s="1" t="s">
        <v>73</v>
      </c>
      <c r="E332" s="1">
        <v>2020.0</v>
      </c>
      <c r="F332" s="1">
        <v>8.0</v>
      </c>
      <c r="G332" s="1">
        <v>1.6</v>
      </c>
      <c r="H332" s="1">
        <v>0.376470588235294</v>
      </c>
      <c r="I332" s="1" t="s">
        <v>2026</v>
      </c>
      <c r="J332" s="1">
        <v>0.0</v>
      </c>
      <c r="K332" s="1">
        <v>0.0</v>
      </c>
      <c r="L332" s="1">
        <v>0.0</v>
      </c>
      <c r="M332" s="1">
        <v>0.0</v>
      </c>
      <c r="N332" s="1">
        <v>1.0</v>
      </c>
      <c r="O332" s="1">
        <v>0.0</v>
      </c>
      <c r="P332" s="1">
        <v>0.0</v>
      </c>
      <c r="Q332" s="1">
        <v>0.0</v>
      </c>
      <c r="R332" s="1" t="s">
        <v>1553</v>
      </c>
      <c r="S332" s="1">
        <v>0.00759949802443515</v>
      </c>
    </row>
    <row r="333" ht="15.75" customHeight="1">
      <c r="A333" s="1" t="s">
        <v>2027</v>
      </c>
      <c r="B333" s="1" t="s">
        <v>2028</v>
      </c>
      <c r="C333" s="1" t="s">
        <v>2029</v>
      </c>
      <c r="D333" s="1" t="s">
        <v>143</v>
      </c>
      <c r="E333" s="1">
        <v>2012.0</v>
      </c>
      <c r="F333" s="1">
        <v>8.0</v>
      </c>
      <c r="G333" s="1">
        <v>0.615384615384615</v>
      </c>
      <c r="H333" s="1">
        <v>4.95238095238095</v>
      </c>
      <c r="I333" s="1" t="s">
        <v>2030</v>
      </c>
      <c r="J333" s="1">
        <v>0.0</v>
      </c>
      <c r="K333" s="1">
        <v>0.0</v>
      </c>
      <c r="L333" s="1">
        <v>0.0</v>
      </c>
      <c r="M333" s="1">
        <v>0.0</v>
      </c>
      <c r="N333" s="1">
        <v>1.0</v>
      </c>
      <c r="O333" s="1">
        <v>0.0</v>
      </c>
      <c r="P333" s="1">
        <v>0.0</v>
      </c>
      <c r="Q333" s="1">
        <v>0.0</v>
      </c>
      <c r="R333" s="1" t="s">
        <v>1553</v>
      </c>
      <c r="S333" s="1">
        <v>0.02342294858081</v>
      </c>
    </row>
    <row r="334" ht="15.75" customHeight="1">
      <c r="A334" s="1" t="s">
        <v>2031</v>
      </c>
      <c r="B334" s="1" t="s">
        <v>2032</v>
      </c>
      <c r="C334" s="1" t="s">
        <v>2033</v>
      </c>
      <c r="D334" s="1" t="s">
        <v>95</v>
      </c>
      <c r="E334" s="1">
        <v>2016.0</v>
      </c>
      <c r="F334" s="1">
        <v>7.0</v>
      </c>
      <c r="G334" s="1">
        <v>0.777777777777778</v>
      </c>
      <c r="H334" s="1">
        <v>0.786516853932584</v>
      </c>
      <c r="I334" s="1" t="s">
        <v>2034</v>
      </c>
      <c r="J334" s="1">
        <v>0.0</v>
      </c>
      <c r="K334" s="1">
        <v>0.0</v>
      </c>
      <c r="L334" s="1">
        <v>0.0</v>
      </c>
      <c r="M334" s="1">
        <v>0.0</v>
      </c>
      <c r="N334" s="1">
        <v>1.0</v>
      </c>
      <c r="O334" s="1">
        <v>0.0</v>
      </c>
      <c r="P334" s="1">
        <v>0.0</v>
      </c>
      <c r="Q334" s="1">
        <v>0.0</v>
      </c>
      <c r="R334" s="1" t="s">
        <v>1553</v>
      </c>
      <c r="S334" s="1">
        <v>0.02342294858081</v>
      </c>
    </row>
    <row r="335" ht="15.75" customHeight="1">
      <c r="A335" s="1" t="s">
        <v>2035</v>
      </c>
      <c r="B335" s="1" t="s">
        <v>2036</v>
      </c>
      <c r="C335" s="1" t="s">
        <v>2037</v>
      </c>
      <c r="D335" s="1" t="s">
        <v>250</v>
      </c>
      <c r="E335" s="1">
        <v>2021.0</v>
      </c>
      <c r="F335" s="1">
        <v>6.0</v>
      </c>
      <c r="G335" s="1">
        <v>1.5</v>
      </c>
      <c r="H335" s="1">
        <v>0.493670886075949</v>
      </c>
      <c r="I335" s="1" t="s">
        <v>2038</v>
      </c>
      <c r="J335" s="1">
        <v>0.0506329113924051</v>
      </c>
      <c r="K335" s="1">
        <v>0.0</v>
      </c>
      <c r="L335" s="1">
        <v>0.0</v>
      </c>
      <c r="M335" s="1">
        <v>0.0</v>
      </c>
      <c r="N335" s="1">
        <v>0.949367088607595</v>
      </c>
      <c r="O335" s="1">
        <v>0.0</v>
      </c>
      <c r="P335" s="1">
        <v>0.0</v>
      </c>
      <c r="Q335" s="1">
        <v>0.0</v>
      </c>
      <c r="R335" s="1" t="s">
        <v>1553</v>
      </c>
      <c r="S335" s="1">
        <v>0.0552329335330271</v>
      </c>
    </row>
    <row r="336" ht="15.75" customHeight="1">
      <c r="A336" s="1" t="s">
        <v>2039</v>
      </c>
      <c r="B336" s="1" t="s">
        <v>2040</v>
      </c>
      <c r="C336" s="1" t="s">
        <v>2041</v>
      </c>
      <c r="D336" s="1" t="s">
        <v>154</v>
      </c>
      <c r="E336" s="1">
        <v>2022.0</v>
      </c>
      <c r="F336" s="1">
        <v>6.0</v>
      </c>
      <c r="G336" s="1">
        <v>2.0</v>
      </c>
      <c r="H336" s="1">
        <v>1.06478873239437</v>
      </c>
      <c r="I336" s="1" t="s">
        <v>2042</v>
      </c>
      <c r="J336" s="1">
        <v>0.0</v>
      </c>
      <c r="K336" s="1">
        <v>0.0</v>
      </c>
      <c r="L336" s="1">
        <v>0.0604982206405694</v>
      </c>
      <c r="M336" s="1">
        <v>0.0</v>
      </c>
      <c r="N336" s="1">
        <v>0.939501779359431</v>
      </c>
      <c r="O336" s="1">
        <v>0.0</v>
      </c>
      <c r="P336" s="1">
        <v>0.0</v>
      </c>
      <c r="Q336" s="1">
        <v>0.0</v>
      </c>
      <c r="R336" s="1" t="s">
        <v>1553</v>
      </c>
      <c r="S336" s="1">
        <v>0.0655986046892014</v>
      </c>
    </row>
    <row r="337" ht="15.75" customHeight="1">
      <c r="A337" s="1" t="s">
        <v>2043</v>
      </c>
      <c r="B337" s="1" t="s">
        <v>2044</v>
      </c>
      <c r="C337" s="1" t="s">
        <v>2045</v>
      </c>
      <c r="D337" s="1" t="s">
        <v>96</v>
      </c>
      <c r="E337" s="1">
        <v>2013.0</v>
      </c>
      <c r="F337" s="1">
        <v>6.0</v>
      </c>
      <c r="G337" s="1">
        <v>0.5</v>
      </c>
      <c r="H337" s="1">
        <v>1.875</v>
      </c>
      <c r="I337" s="1" t="s">
        <v>2046</v>
      </c>
      <c r="J337" s="1">
        <v>0.0</v>
      </c>
      <c r="K337" s="1">
        <v>0.0</v>
      </c>
      <c r="L337" s="1">
        <v>0.0</v>
      </c>
      <c r="M337" s="1">
        <v>0.0</v>
      </c>
      <c r="N337" s="1">
        <v>1.0</v>
      </c>
      <c r="O337" s="1">
        <v>0.0</v>
      </c>
      <c r="P337" s="1">
        <v>0.0</v>
      </c>
      <c r="Q337" s="1">
        <v>0.0</v>
      </c>
      <c r="R337" s="1" t="s">
        <v>1553</v>
      </c>
      <c r="S337" s="1">
        <v>0.0250859596475844</v>
      </c>
    </row>
    <row r="338" ht="15.75" customHeight="1">
      <c r="A338" s="1" t="s">
        <v>2047</v>
      </c>
      <c r="B338" s="1" t="s">
        <v>349</v>
      </c>
      <c r="C338" s="1" t="s">
        <v>2048</v>
      </c>
      <c r="D338" s="1" t="s">
        <v>64</v>
      </c>
      <c r="E338" s="1">
        <v>2015.0</v>
      </c>
      <c r="F338" s="1">
        <v>6.0</v>
      </c>
      <c r="G338" s="1">
        <v>0.6</v>
      </c>
      <c r="H338" s="1">
        <v>0.274111675126904</v>
      </c>
      <c r="I338" s="1" t="s">
        <v>2049</v>
      </c>
      <c r="J338" s="1">
        <v>0.0</v>
      </c>
      <c r="K338" s="1">
        <v>0.0</v>
      </c>
      <c r="L338" s="1">
        <v>0.0</v>
      </c>
      <c r="M338" s="1">
        <v>0.0</v>
      </c>
      <c r="N338" s="1">
        <v>1.0</v>
      </c>
      <c r="O338" s="1">
        <v>0.0</v>
      </c>
      <c r="P338" s="1">
        <v>0.0</v>
      </c>
      <c r="Q338" s="1">
        <v>0.0</v>
      </c>
      <c r="R338" s="1" t="s">
        <v>1553</v>
      </c>
      <c r="S338" s="1">
        <v>0.0170490836441111</v>
      </c>
    </row>
    <row r="339" ht="15.75" customHeight="1">
      <c r="A339" s="1" t="s">
        <v>2050</v>
      </c>
      <c r="B339" s="1" t="s">
        <v>2051</v>
      </c>
      <c r="C339" s="1" t="s">
        <v>2052</v>
      </c>
      <c r="D339" s="1" t="s">
        <v>129</v>
      </c>
      <c r="E339" s="1">
        <v>2015.0</v>
      </c>
      <c r="F339" s="1">
        <v>6.0</v>
      </c>
      <c r="G339" s="1">
        <v>0.6</v>
      </c>
      <c r="H339" s="1">
        <v>0.274111675126904</v>
      </c>
      <c r="I339" s="1" t="s">
        <v>2053</v>
      </c>
      <c r="J339" s="1">
        <v>0.0</v>
      </c>
      <c r="K339" s="1">
        <v>0.0</v>
      </c>
      <c r="L339" s="1">
        <v>0.0</v>
      </c>
      <c r="M339" s="1">
        <v>0.0</v>
      </c>
      <c r="N339" s="1">
        <v>1.0</v>
      </c>
      <c r="O339" s="1">
        <v>0.0</v>
      </c>
      <c r="P339" s="1">
        <v>0.0</v>
      </c>
      <c r="Q339" s="1">
        <v>0.0</v>
      </c>
      <c r="R339" s="1" t="s">
        <v>1553</v>
      </c>
      <c r="S339" s="1">
        <v>0.02342294858081</v>
      </c>
    </row>
    <row r="340" ht="15.75" customHeight="1">
      <c r="A340" s="1" t="s">
        <v>2054</v>
      </c>
      <c r="B340" s="1" t="s">
        <v>2055</v>
      </c>
      <c r="C340" s="1" t="s">
        <v>2056</v>
      </c>
      <c r="D340" s="1" t="s">
        <v>104</v>
      </c>
      <c r="E340" s="1">
        <v>2023.0</v>
      </c>
      <c r="F340" s="1">
        <v>5.0</v>
      </c>
      <c r="G340" s="1">
        <v>2.5</v>
      </c>
      <c r="H340" s="1">
        <v>1.61087866108787</v>
      </c>
      <c r="I340" s="1" t="s">
        <v>2057</v>
      </c>
      <c r="J340" s="1">
        <v>0.0</v>
      </c>
      <c r="K340" s="1">
        <v>0.0</v>
      </c>
      <c r="L340" s="1">
        <v>0.0</v>
      </c>
      <c r="M340" s="1">
        <v>0.0</v>
      </c>
      <c r="N340" s="1">
        <v>1.0</v>
      </c>
      <c r="O340" s="1">
        <v>0.0</v>
      </c>
      <c r="P340" s="1">
        <v>0.0</v>
      </c>
      <c r="Q340" s="1">
        <v>0.0</v>
      </c>
      <c r="R340" s="1" t="s">
        <v>1553</v>
      </c>
      <c r="S340" s="1">
        <v>0.0326771778221137</v>
      </c>
    </row>
    <row r="341" ht="15.75" customHeight="1">
      <c r="A341" s="1" t="s">
        <v>2058</v>
      </c>
      <c r="B341" s="1" t="s">
        <v>2059</v>
      </c>
      <c r="C341" s="1" t="s">
        <v>2060</v>
      </c>
      <c r="D341" s="1" t="s">
        <v>166</v>
      </c>
      <c r="E341" s="1">
        <v>2023.0</v>
      </c>
      <c r="F341" s="1">
        <v>5.0</v>
      </c>
      <c r="G341" s="1">
        <v>2.5</v>
      </c>
      <c r="H341" s="1">
        <v>1.61087866108787</v>
      </c>
      <c r="I341" s="1" t="s">
        <v>2061</v>
      </c>
      <c r="J341" s="1">
        <v>0.0384615384615385</v>
      </c>
      <c r="K341" s="1">
        <v>0.0</v>
      </c>
      <c r="L341" s="1">
        <v>0.0</v>
      </c>
      <c r="M341" s="1">
        <v>0.0</v>
      </c>
      <c r="N341" s="1">
        <v>0.961538461538462</v>
      </c>
      <c r="O341" s="1">
        <v>0.0</v>
      </c>
      <c r="P341" s="1">
        <v>0.0</v>
      </c>
      <c r="Q341" s="1">
        <v>0.0</v>
      </c>
      <c r="R341" s="1" t="s">
        <v>1553</v>
      </c>
      <c r="S341" s="1">
        <v>0.0555097576084828</v>
      </c>
    </row>
    <row r="342" ht="15.75" customHeight="1">
      <c r="A342" s="1" t="s">
        <v>2062</v>
      </c>
      <c r="B342" s="1" t="s">
        <v>2063</v>
      </c>
      <c r="C342" s="1" t="s">
        <v>2064</v>
      </c>
      <c r="D342" s="1" t="s">
        <v>62</v>
      </c>
      <c r="E342" s="1">
        <v>2013.0</v>
      </c>
      <c r="F342" s="1">
        <v>5.0</v>
      </c>
      <c r="G342" s="1">
        <v>0.416666666666667</v>
      </c>
      <c r="H342" s="1">
        <v>1.5625</v>
      </c>
      <c r="I342" s="1" t="s">
        <v>2065</v>
      </c>
      <c r="J342" s="1">
        <v>0.0</v>
      </c>
      <c r="K342" s="1">
        <v>0.0</v>
      </c>
      <c r="L342" s="1">
        <v>0.0</v>
      </c>
      <c r="M342" s="1">
        <v>0.0</v>
      </c>
      <c r="N342" s="1">
        <v>1.0</v>
      </c>
      <c r="O342" s="1">
        <v>0.0</v>
      </c>
      <c r="P342" s="1">
        <v>0.0</v>
      </c>
      <c r="Q342" s="1">
        <v>0.0</v>
      </c>
      <c r="R342" s="1" t="s">
        <v>1553</v>
      </c>
      <c r="S342" s="1">
        <v>0.0125424311907855</v>
      </c>
    </row>
    <row r="343" ht="15.75" customHeight="1">
      <c r="A343" s="1" t="s">
        <v>2066</v>
      </c>
      <c r="B343" s="1" t="s">
        <v>2067</v>
      </c>
      <c r="C343" s="1" t="s">
        <v>2068</v>
      </c>
      <c r="D343" s="1" t="s">
        <v>279</v>
      </c>
      <c r="E343" s="1">
        <v>2021.0</v>
      </c>
      <c r="F343" s="1">
        <v>4.0</v>
      </c>
      <c r="G343" s="1">
        <v>1.0</v>
      </c>
      <c r="H343" s="1">
        <v>0.329113924050633</v>
      </c>
      <c r="I343" s="1" t="s">
        <v>2069</v>
      </c>
      <c r="J343" s="1">
        <v>0.129589632829374</v>
      </c>
      <c r="K343" s="1">
        <v>0.0</v>
      </c>
      <c r="L343" s="1">
        <v>0.0669546436285097</v>
      </c>
      <c r="M343" s="1">
        <v>0.0</v>
      </c>
      <c r="N343" s="1">
        <v>0.803455723542117</v>
      </c>
      <c r="O343" s="1">
        <v>0.0</v>
      </c>
      <c r="P343" s="1">
        <v>0.0</v>
      </c>
      <c r="Q343" s="1">
        <v>0.0</v>
      </c>
      <c r="R343" s="1" t="s">
        <v>1553</v>
      </c>
      <c r="S343" s="1">
        <v>0.0782484618836137</v>
      </c>
    </row>
    <row r="344" ht="15.75" customHeight="1">
      <c r="A344" s="1" t="s">
        <v>2070</v>
      </c>
      <c r="B344" s="1" t="s">
        <v>2071</v>
      </c>
      <c r="C344" s="1" t="s">
        <v>2072</v>
      </c>
      <c r="D344" s="1" t="s">
        <v>203</v>
      </c>
      <c r="E344" s="1">
        <v>2024.0</v>
      </c>
      <c r="F344" s="1">
        <v>4.0</v>
      </c>
      <c r="G344" s="1">
        <v>4.0</v>
      </c>
      <c r="H344" s="1">
        <v>4.34285714285714</v>
      </c>
      <c r="I344" s="1" t="s">
        <v>2073</v>
      </c>
      <c r="J344" s="1">
        <v>0.0</v>
      </c>
      <c r="K344" s="1">
        <v>0.0</v>
      </c>
      <c r="L344" s="1">
        <v>0.0</v>
      </c>
      <c r="M344" s="1">
        <v>0.0</v>
      </c>
      <c r="N344" s="1">
        <v>1.0</v>
      </c>
      <c r="O344" s="1">
        <v>0.0</v>
      </c>
      <c r="P344" s="1">
        <v>0.0</v>
      </c>
      <c r="Q344" s="1">
        <v>0.0</v>
      </c>
      <c r="R344" s="1" t="s">
        <v>1553</v>
      </c>
      <c r="S344" s="1">
        <v>0.0212872873412212</v>
      </c>
    </row>
    <row r="345" ht="15.75" customHeight="1">
      <c r="A345" s="1" t="s">
        <v>2074</v>
      </c>
      <c r="B345" s="1" t="s">
        <v>2075</v>
      </c>
      <c r="C345" s="1" t="s">
        <v>2076</v>
      </c>
      <c r="D345" s="1" t="s">
        <v>65</v>
      </c>
      <c r="E345" s="1">
        <v>2021.0</v>
      </c>
      <c r="F345" s="1">
        <v>4.0</v>
      </c>
      <c r="G345" s="1">
        <v>1.0</v>
      </c>
      <c r="H345" s="1">
        <v>0.329113924050633</v>
      </c>
      <c r="I345" s="1" t="s">
        <v>2077</v>
      </c>
      <c r="J345" s="1">
        <v>0.173868046571798</v>
      </c>
      <c r="K345" s="1">
        <v>0.0561448900388098</v>
      </c>
      <c r="L345" s="1">
        <v>0.0</v>
      </c>
      <c r="M345" s="1">
        <v>0.0</v>
      </c>
      <c r="N345" s="1">
        <v>0.769987063389392</v>
      </c>
      <c r="O345" s="1">
        <v>0.0</v>
      </c>
      <c r="P345" s="1">
        <v>0.0</v>
      </c>
      <c r="Q345" s="1">
        <v>0.0</v>
      </c>
      <c r="R345" s="1" t="s">
        <v>1553</v>
      </c>
      <c r="S345" s="1">
        <v>0.0989105830871371</v>
      </c>
    </row>
    <row r="346" ht="15.75" customHeight="1">
      <c r="A346" s="1" t="s">
        <v>2078</v>
      </c>
      <c r="B346" s="1" t="s">
        <v>2079</v>
      </c>
      <c r="C346" s="1" t="s">
        <v>2080</v>
      </c>
      <c r="D346" s="1" t="s">
        <v>87</v>
      </c>
      <c r="E346" s="1">
        <v>2020.0</v>
      </c>
      <c r="F346" s="1">
        <v>4.0</v>
      </c>
      <c r="G346" s="1">
        <v>0.8</v>
      </c>
      <c r="H346" s="1">
        <v>0.188235294117647</v>
      </c>
      <c r="I346" s="1" t="s">
        <v>2081</v>
      </c>
      <c r="J346" s="1">
        <v>0.184782608695652</v>
      </c>
      <c r="K346" s="1">
        <v>0.0</v>
      </c>
      <c r="L346" s="1">
        <v>0.0</v>
      </c>
      <c r="M346" s="1">
        <v>0.0</v>
      </c>
      <c r="N346" s="1">
        <v>0.815217391304348</v>
      </c>
      <c r="O346" s="1">
        <v>0.0</v>
      </c>
      <c r="P346" s="1">
        <v>0.0</v>
      </c>
      <c r="Q346" s="1">
        <v>0.0</v>
      </c>
      <c r="R346" s="1" t="s">
        <v>1553</v>
      </c>
      <c r="S346" s="1">
        <v>0.0671309889429674</v>
      </c>
    </row>
    <row r="347" ht="15.75" customHeight="1">
      <c r="A347" s="1" t="s">
        <v>2082</v>
      </c>
      <c r="B347" s="1" t="s">
        <v>2083</v>
      </c>
      <c r="C347" s="1" t="s">
        <v>2084</v>
      </c>
      <c r="D347" s="1" t="s">
        <v>245</v>
      </c>
      <c r="E347" s="1">
        <v>2019.0</v>
      </c>
      <c r="F347" s="1">
        <v>4.0</v>
      </c>
      <c r="G347" s="1">
        <v>0.666666666666667</v>
      </c>
      <c r="H347" s="1">
        <v>0.448844884488449</v>
      </c>
      <c r="I347" s="1" t="s">
        <v>2085</v>
      </c>
      <c r="J347" s="1">
        <v>0.0384615384615385</v>
      </c>
      <c r="K347" s="1">
        <v>0.0</v>
      </c>
      <c r="L347" s="1">
        <v>0.0</v>
      </c>
      <c r="M347" s="1">
        <v>0.0</v>
      </c>
      <c r="N347" s="1">
        <v>0.961538461538462</v>
      </c>
      <c r="O347" s="1">
        <v>0.0</v>
      </c>
      <c r="P347" s="1">
        <v>0.0</v>
      </c>
      <c r="Q347" s="1">
        <v>0.0</v>
      </c>
      <c r="R347" s="1" t="s">
        <v>1553</v>
      </c>
      <c r="S347" s="1">
        <v>0.0552493760871085</v>
      </c>
    </row>
    <row r="348" ht="15.75" customHeight="1">
      <c r="A348" s="1" t="s">
        <v>2086</v>
      </c>
      <c r="B348" s="1" t="s">
        <v>639</v>
      </c>
      <c r="C348" s="1" t="s">
        <v>2087</v>
      </c>
      <c r="D348" s="1" t="s">
        <v>205</v>
      </c>
      <c r="E348" s="1">
        <v>2018.0</v>
      </c>
      <c r="F348" s="1">
        <v>4.0</v>
      </c>
      <c r="G348" s="1">
        <v>0.571428571428571</v>
      </c>
      <c r="H348" s="1">
        <v>0.312925170068027</v>
      </c>
      <c r="I348" s="1" t="s">
        <v>2088</v>
      </c>
      <c r="J348" s="1">
        <v>0.0</v>
      </c>
      <c r="K348" s="1">
        <v>0.127272727272727</v>
      </c>
      <c r="L348" s="1">
        <v>0.0</v>
      </c>
      <c r="M348" s="1">
        <v>0.0</v>
      </c>
      <c r="N348" s="1">
        <v>0.872727272727273</v>
      </c>
      <c r="O348" s="1">
        <v>0.0</v>
      </c>
      <c r="P348" s="1">
        <v>0.0</v>
      </c>
      <c r="Q348" s="1">
        <v>0.0</v>
      </c>
      <c r="R348" s="1" t="s">
        <v>1553</v>
      </c>
      <c r="S348" s="1">
        <v>0.0827333823139576</v>
      </c>
    </row>
    <row r="349" ht="15.75" customHeight="1">
      <c r="A349" s="1" t="s">
        <v>2089</v>
      </c>
      <c r="B349" s="1" t="s">
        <v>891</v>
      </c>
      <c r="C349" s="1" t="s">
        <v>2090</v>
      </c>
      <c r="D349" s="1" t="s">
        <v>111</v>
      </c>
      <c r="E349" s="1">
        <v>2016.0</v>
      </c>
      <c r="F349" s="1">
        <v>4.0</v>
      </c>
      <c r="G349" s="1">
        <v>0.444444444444444</v>
      </c>
      <c r="H349" s="1">
        <v>0.449438202247191</v>
      </c>
      <c r="I349" s="1" t="s">
        <v>2091</v>
      </c>
      <c r="J349" s="1">
        <v>0.0</v>
      </c>
      <c r="K349" s="1">
        <v>0.0</v>
      </c>
      <c r="L349" s="1">
        <v>0.0</v>
      </c>
      <c r="M349" s="1">
        <v>0.0</v>
      </c>
      <c r="N349" s="1">
        <v>1.0</v>
      </c>
      <c r="O349" s="1">
        <v>0.0</v>
      </c>
      <c r="P349" s="1">
        <v>0.0</v>
      </c>
      <c r="Q349" s="1">
        <v>0.0</v>
      </c>
      <c r="R349" s="1" t="s">
        <v>1553</v>
      </c>
      <c r="S349" s="1">
        <v>0.00426897809741212</v>
      </c>
    </row>
    <row r="350" ht="15.75" customHeight="1">
      <c r="A350" s="1" t="s">
        <v>2092</v>
      </c>
      <c r="B350" s="1" t="s">
        <v>2093</v>
      </c>
      <c r="C350" s="1" t="s">
        <v>2094</v>
      </c>
      <c r="D350" s="1" t="s">
        <v>115</v>
      </c>
      <c r="E350" s="1">
        <v>2016.0</v>
      </c>
      <c r="F350" s="1">
        <v>4.0</v>
      </c>
      <c r="G350" s="1">
        <v>0.444444444444444</v>
      </c>
      <c r="H350" s="1">
        <v>0.449438202247191</v>
      </c>
      <c r="I350" s="1" t="s">
        <v>2095</v>
      </c>
      <c r="J350" s="1">
        <v>0.0</v>
      </c>
      <c r="K350" s="1">
        <v>0.0</v>
      </c>
      <c r="L350" s="1">
        <v>0.0</v>
      </c>
      <c r="M350" s="1">
        <v>0.0</v>
      </c>
      <c r="N350" s="1">
        <v>1.0</v>
      </c>
      <c r="O350" s="1">
        <v>0.0</v>
      </c>
      <c r="P350" s="1">
        <v>0.0</v>
      </c>
      <c r="Q350" s="1">
        <v>0.0</v>
      </c>
      <c r="R350" s="1" t="s">
        <v>1553</v>
      </c>
      <c r="S350" s="1">
        <v>0.00260555565009662</v>
      </c>
    </row>
    <row r="351" ht="15.75" customHeight="1">
      <c r="A351" s="1" t="s">
        <v>2096</v>
      </c>
      <c r="B351" s="1" t="s">
        <v>2097</v>
      </c>
      <c r="C351" s="1" t="s">
        <v>2098</v>
      </c>
      <c r="D351" s="1" t="s">
        <v>113</v>
      </c>
      <c r="E351" s="1">
        <v>2016.0</v>
      </c>
      <c r="F351" s="1">
        <v>4.0</v>
      </c>
      <c r="G351" s="1">
        <v>0.444444444444444</v>
      </c>
      <c r="H351" s="1">
        <v>0.449438202247191</v>
      </c>
      <c r="I351" s="1" t="s">
        <v>2099</v>
      </c>
      <c r="J351" s="1">
        <v>0.0356083086053413</v>
      </c>
      <c r="K351" s="1">
        <v>0.0</v>
      </c>
      <c r="L351" s="1">
        <v>0.0</v>
      </c>
      <c r="M351" s="1">
        <v>0.0</v>
      </c>
      <c r="N351" s="1">
        <v>0.964391691394659</v>
      </c>
      <c r="O351" s="1">
        <v>0.0</v>
      </c>
      <c r="P351" s="1">
        <v>0.0</v>
      </c>
      <c r="Q351" s="1">
        <v>0.0</v>
      </c>
      <c r="R351" s="1" t="s">
        <v>1553</v>
      </c>
      <c r="S351" s="1">
        <v>0.078218298994092</v>
      </c>
    </row>
    <row r="352" ht="15.75" customHeight="1">
      <c r="A352" s="1" t="s">
        <v>2100</v>
      </c>
      <c r="B352" s="1" t="s">
        <v>890</v>
      </c>
      <c r="C352" s="1" t="s">
        <v>2101</v>
      </c>
      <c r="D352" s="1" t="s">
        <v>111</v>
      </c>
      <c r="E352" s="1">
        <v>2015.0</v>
      </c>
      <c r="F352" s="1">
        <v>4.0</v>
      </c>
      <c r="G352" s="1">
        <v>0.4</v>
      </c>
      <c r="H352" s="1">
        <v>0.182741116751269</v>
      </c>
      <c r="I352" s="1" t="s">
        <v>2102</v>
      </c>
      <c r="J352" s="1">
        <v>0.025974025974026</v>
      </c>
      <c r="K352" s="1">
        <v>0.0</v>
      </c>
      <c r="L352" s="1">
        <v>0.0</v>
      </c>
      <c r="M352" s="1">
        <v>0.0</v>
      </c>
      <c r="N352" s="1">
        <v>0.974025974025974</v>
      </c>
      <c r="O352" s="1">
        <v>0.0</v>
      </c>
      <c r="P352" s="1">
        <v>0.0</v>
      </c>
      <c r="Q352" s="1">
        <v>0.0</v>
      </c>
      <c r="R352" s="1" t="s">
        <v>1553</v>
      </c>
      <c r="S352" s="1">
        <v>0.0535372399812925</v>
      </c>
    </row>
    <row r="353" ht="15.75" customHeight="1">
      <c r="A353" s="1" t="s">
        <v>2103</v>
      </c>
      <c r="B353" s="1" t="s">
        <v>1384</v>
      </c>
      <c r="C353" s="1" t="s">
        <v>2104</v>
      </c>
      <c r="D353" s="1" t="s">
        <v>191</v>
      </c>
      <c r="E353" s="1">
        <v>2010.0</v>
      </c>
      <c r="F353" s="1">
        <v>4.0</v>
      </c>
      <c r="G353" s="1">
        <v>0.266666666666667</v>
      </c>
      <c r="H353" s="1">
        <v>0.705882352941176</v>
      </c>
      <c r="I353" s="1" t="s">
        <v>2105</v>
      </c>
      <c r="J353" s="1">
        <v>0.0</v>
      </c>
      <c r="K353" s="1">
        <v>0.0</v>
      </c>
      <c r="L353" s="1">
        <v>0.0</v>
      </c>
      <c r="M353" s="1">
        <v>0.0</v>
      </c>
      <c r="N353" s="1">
        <v>1.0</v>
      </c>
      <c r="O353" s="1">
        <v>0.0</v>
      </c>
      <c r="P353" s="1">
        <v>0.0</v>
      </c>
      <c r="Q353" s="1">
        <v>0.0</v>
      </c>
      <c r="R353" s="1" t="s">
        <v>1553</v>
      </c>
      <c r="S353" s="1">
        <v>0.02342294858081</v>
      </c>
    </row>
    <row r="354" ht="15.75" customHeight="1">
      <c r="A354" s="1" t="s">
        <v>2106</v>
      </c>
      <c r="B354" s="1" t="s">
        <v>2107</v>
      </c>
      <c r="C354" s="1" t="s">
        <v>2108</v>
      </c>
      <c r="D354" s="1" t="s">
        <v>158</v>
      </c>
      <c r="E354" s="1">
        <v>2020.0</v>
      </c>
      <c r="F354" s="1">
        <v>3.0</v>
      </c>
      <c r="G354" s="1">
        <v>0.6</v>
      </c>
      <c r="H354" s="1">
        <v>0.141176470588235</v>
      </c>
      <c r="I354" s="1" t="s">
        <v>2109</v>
      </c>
      <c r="J354" s="1">
        <v>0.0</v>
      </c>
      <c r="K354" s="1">
        <v>0.0</v>
      </c>
      <c r="L354" s="1">
        <v>0.0</v>
      </c>
      <c r="M354" s="1">
        <v>0.0</v>
      </c>
      <c r="N354" s="1">
        <v>1.0</v>
      </c>
      <c r="O354" s="1">
        <v>0.0</v>
      </c>
      <c r="P354" s="1">
        <v>0.0</v>
      </c>
      <c r="Q354" s="1">
        <v>0.0</v>
      </c>
      <c r="R354" s="1" t="s">
        <v>1553</v>
      </c>
      <c r="S354" s="1">
        <v>0.0188466216525749</v>
      </c>
    </row>
    <row r="355" ht="15.75" customHeight="1">
      <c r="A355" s="1" t="s">
        <v>2110</v>
      </c>
      <c r="B355" s="1" t="s">
        <v>1151</v>
      </c>
      <c r="C355" s="1" t="s">
        <v>2111</v>
      </c>
      <c r="D355" s="1" t="s">
        <v>72</v>
      </c>
      <c r="E355" s="1">
        <v>2022.0</v>
      </c>
      <c r="F355" s="1">
        <v>3.0</v>
      </c>
      <c r="G355" s="1">
        <v>1.0</v>
      </c>
      <c r="H355" s="1">
        <v>0.532394366197183</v>
      </c>
      <c r="I355" s="1" t="s">
        <v>2112</v>
      </c>
      <c r="J355" s="1">
        <v>0.0</v>
      </c>
      <c r="K355" s="1">
        <v>0.0</v>
      </c>
      <c r="L355" s="1">
        <v>0.0</v>
      </c>
      <c r="M355" s="1">
        <v>0.0</v>
      </c>
      <c r="N355" s="1">
        <v>1.0</v>
      </c>
      <c r="O355" s="1">
        <v>0.0</v>
      </c>
      <c r="P355" s="1">
        <v>0.0</v>
      </c>
      <c r="Q355" s="1">
        <v>0.0</v>
      </c>
      <c r="R355" s="1" t="s">
        <v>1553</v>
      </c>
      <c r="S355" s="1">
        <v>0.0492784255611756</v>
      </c>
    </row>
    <row r="356" ht="15.75" customHeight="1">
      <c r="A356" s="1" t="s">
        <v>2113</v>
      </c>
      <c r="B356" s="1" t="s">
        <v>2114</v>
      </c>
      <c r="C356" s="1" t="s">
        <v>2115</v>
      </c>
      <c r="D356" s="1" t="s">
        <v>62</v>
      </c>
      <c r="E356" s="1">
        <v>2021.0</v>
      </c>
      <c r="F356" s="1">
        <v>2.0</v>
      </c>
      <c r="G356" s="1">
        <v>0.5</v>
      </c>
      <c r="H356" s="1">
        <v>0.164556962025316</v>
      </c>
      <c r="I356" s="1" t="s">
        <v>2116</v>
      </c>
      <c r="J356" s="1">
        <v>0.0</v>
      </c>
      <c r="K356" s="1">
        <v>0.272727272727273</v>
      </c>
      <c r="L356" s="1">
        <v>0.0</v>
      </c>
      <c r="M356" s="1">
        <v>0.0</v>
      </c>
      <c r="N356" s="1">
        <v>0.727272727272727</v>
      </c>
      <c r="O356" s="1">
        <v>0.0</v>
      </c>
      <c r="P356" s="1">
        <v>0.0</v>
      </c>
      <c r="Q356" s="1">
        <v>0.0</v>
      </c>
      <c r="R356" s="1" t="s">
        <v>1553</v>
      </c>
      <c r="S356" s="1">
        <v>0.0871429822693176</v>
      </c>
    </row>
    <row r="357" ht="15.75" customHeight="1">
      <c r="A357" s="1" t="s">
        <v>2117</v>
      </c>
      <c r="B357" s="1" t="s">
        <v>2118</v>
      </c>
      <c r="C357" s="1" t="s">
        <v>2119</v>
      </c>
      <c r="D357" s="1" t="s">
        <v>306</v>
      </c>
      <c r="E357" s="1">
        <v>2021.0</v>
      </c>
      <c r="F357" s="1">
        <v>2.0</v>
      </c>
      <c r="G357" s="1">
        <v>0.5</v>
      </c>
      <c r="H357" s="1">
        <v>0.164556962025316</v>
      </c>
      <c r="I357" s="1" t="s">
        <v>2120</v>
      </c>
      <c r="J357" s="1">
        <v>0.0</v>
      </c>
      <c r="K357" s="1">
        <v>0.0894308943089431</v>
      </c>
      <c r="L357" s="1">
        <v>0.364227642276423</v>
      </c>
      <c r="M357" s="1">
        <v>0.0</v>
      </c>
      <c r="N357" s="1">
        <v>0.546341463414634</v>
      </c>
      <c r="O357" s="1">
        <v>0.0</v>
      </c>
      <c r="P357" s="1">
        <v>0.0</v>
      </c>
      <c r="Q357" s="1">
        <v>0.0</v>
      </c>
      <c r="R357" s="1" t="s">
        <v>1553</v>
      </c>
      <c r="S357" s="1">
        <v>0.0812287606249033</v>
      </c>
    </row>
    <row r="358" ht="15.75" customHeight="1">
      <c r="A358" s="1" t="s">
        <v>2121</v>
      </c>
      <c r="B358" s="1" t="s">
        <v>2122</v>
      </c>
      <c r="C358" s="1" t="s">
        <v>2123</v>
      </c>
      <c r="D358" s="1" t="s">
        <v>74</v>
      </c>
      <c r="E358" s="1">
        <v>2022.0</v>
      </c>
      <c r="F358" s="1">
        <v>2.0</v>
      </c>
      <c r="G358" s="1">
        <v>0.666666666666667</v>
      </c>
      <c r="H358" s="1">
        <v>0.354929577464789</v>
      </c>
      <c r="I358" s="1" t="s">
        <v>2124</v>
      </c>
      <c r="J358" s="1">
        <v>0.106002554278416</v>
      </c>
      <c r="K358" s="1">
        <v>0.0</v>
      </c>
      <c r="L358" s="1">
        <v>0.0</v>
      </c>
      <c r="M358" s="1">
        <v>0.0</v>
      </c>
      <c r="N358" s="1">
        <v>0.893997445721584</v>
      </c>
      <c r="O358" s="1">
        <v>0.0</v>
      </c>
      <c r="P358" s="1">
        <v>0.0</v>
      </c>
      <c r="Q358" s="1">
        <v>0.0</v>
      </c>
      <c r="R358" s="1" t="s">
        <v>1553</v>
      </c>
      <c r="S358" s="1">
        <v>0.0723734132184091</v>
      </c>
    </row>
    <row r="359" ht="15.75" customHeight="1">
      <c r="A359" s="1" t="s">
        <v>2125</v>
      </c>
      <c r="B359" s="1" t="s">
        <v>2126</v>
      </c>
      <c r="C359" s="1" t="s">
        <v>2127</v>
      </c>
      <c r="D359" s="1" t="s">
        <v>127</v>
      </c>
      <c r="E359" s="1">
        <v>2018.0</v>
      </c>
      <c r="F359" s="1">
        <v>2.0</v>
      </c>
      <c r="G359" s="1">
        <v>0.285714285714286</v>
      </c>
      <c r="H359" s="1">
        <v>0.156462585034014</v>
      </c>
      <c r="I359" s="1" t="s">
        <v>2128</v>
      </c>
      <c r="J359" s="1">
        <v>0.0</v>
      </c>
      <c r="K359" s="1">
        <v>0.0</v>
      </c>
      <c r="L359" s="1">
        <v>0.0</v>
      </c>
      <c r="M359" s="1">
        <v>0.0</v>
      </c>
      <c r="N359" s="1">
        <v>1.0</v>
      </c>
      <c r="O359" s="1">
        <v>0.0</v>
      </c>
      <c r="P359" s="1">
        <v>0.0</v>
      </c>
      <c r="Q359" s="1">
        <v>0.0</v>
      </c>
      <c r="R359" s="1" t="s">
        <v>1553</v>
      </c>
      <c r="S359" s="1">
        <v>0.0463490411050102</v>
      </c>
    </row>
    <row r="360" ht="15.75" customHeight="1">
      <c r="A360" s="1" t="s">
        <v>2129</v>
      </c>
      <c r="B360" s="1" t="s">
        <v>2130</v>
      </c>
      <c r="C360" s="1" t="s">
        <v>2131</v>
      </c>
      <c r="D360" s="1" t="s">
        <v>263</v>
      </c>
      <c r="E360" s="1">
        <v>2014.0</v>
      </c>
      <c r="F360" s="1">
        <v>2.0</v>
      </c>
      <c r="G360" s="1">
        <v>0.181818181818182</v>
      </c>
      <c r="H360" s="1">
        <v>0.0396039603960396</v>
      </c>
      <c r="I360" s="1" t="s">
        <v>2132</v>
      </c>
      <c r="J360" s="1">
        <v>0.0</v>
      </c>
      <c r="K360" s="1">
        <v>0.0</v>
      </c>
      <c r="L360" s="1">
        <v>0.0</v>
      </c>
      <c r="M360" s="1">
        <v>0.0</v>
      </c>
      <c r="N360" s="1">
        <v>1.0</v>
      </c>
      <c r="O360" s="1">
        <v>0.0</v>
      </c>
      <c r="P360" s="1">
        <v>0.0</v>
      </c>
      <c r="Q360" s="1">
        <v>0.0</v>
      </c>
      <c r="R360" s="1" t="s">
        <v>1553</v>
      </c>
      <c r="S360" s="1">
        <v>0.0278557087323124</v>
      </c>
    </row>
    <row r="361" ht="15.75" customHeight="1">
      <c r="A361" s="1" t="s">
        <v>2133</v>
      </c>
      <c r="B361" s="1" t="s">
        <v>2134</v>
      </c>
      <c r="C361" s="1" t="s">
        <v>2135</v>
      </c>
      <c r="D361" s="1" t="s">
        <v>259</v>
      </c>
      <c r="E361" s="1">
        <v>2012.0</v>
      </c>
      <c r="F361" s="1">
        <v>2.0</v>
      </c>
      <c r="G361" s="1">
        <v>0.153846153846154</v>
      </c>
      <c r="H361" s="1">
        <v>1.23809523809524</v>
      </c>
      <c r="I361" s="1" t="s">
        <v>2136</v>
      </c>
      <c r="J361" s="1">
        <v>0.0</v>
      </c>
      <c r="K361" s="1">
        <v>0.0</v>
      </c>
      <c r="L361" s="1">
        <v>0.0</v>
      </c>
      <c r="M361" s="1">
        <v>0.0</v>
      </c>
      <c r="N361" s="1">
        <v>1.0</v>
      </c>
      <c r="O361" s="1">
        <v>0.0</v>
      </c>
      <c r="P361" s="1">
        <v>0.0</v>
      </c>
      <c r="Q361" s="1">
        <v>0.0</v>
      </c>
      <c r="R361" s="1" t="s">
        <v>1553</v>
      </c>
      <c r="S361" s="1">
        <v>0.02342294858081</v>
      </c>
    </row>
    <row r="362" ht="15.75" customHeight="1">
      <c r="A362" s="1" t="s">
        <v>2137</v>
      </c>
      <c r="B362" s="1" t="s">
        <v>1268</v>
      </c>
      <c r="C362" s="1" t="s">
        <v>2138</v>
      </c>
      <c r="D362" s="1" t="s">
        <v>308</v>
      </c>
      <c r="E362" s="1">
        <v>2023.0</v>
      </c>
      <c r="F362" s="1">
        <v>1.0</v>
      </c>
      <c r="G362" s="1">
        <v>0.5</v>
      </c>
      <c r="H362" s="1">
        <v>0.322175732217573</v>
      </c>
      <c r="I362" s="1" t="s">
        <v>2139</v>
      </c>
      <c r="J362" s="1">
        <v>0.0</v>
      </c>
      <c r="K362" s="1">
        <v>0.0</v>
      </c>
      <c r="L362" s="1">
        <v>0.0</v>
      </c>
      <c r="M362" s="1">
        <v>0.0</v>
      </c>
      <c r="N362" s="1">
        <v>1.0</v>
      </c>
      <c r="O362" s="1">
        <v>0.0</v>
      </c>
      <c r="P362" s="1">
        <v>0.0</v>
      </c>
      <c r="Q362" s="1">
        <v>0.0</v>
      </c>
      <c r="R362" s="1" t="s">
        <v>1553</v>
      </c>
      <c r="S362" s="1">
        <v>0.0256458962104331</v>
      </c>
    </row>
    <row r="363" ht="15.75" customHeight="1">
      <c r="A363" s="1" t="s">
        <v>2140</v>
      </c>
      <c r="B363" s="1" t="s">
        <v>2141</v>
      </c>
      <c r="C363" s="1" t="s">
        <v>2142</v>
      </c>
      <c r="D363" s="1" t="s">
        <v>67</v>
      </c>
      <c r="E363" s="1">
        <v>2023.0</v>
      </c>
      <c r="F363" s="1">
        <v>1.0</v>
      </c>
      <c r="G363" s="1">
        <v>0.5</v>
      </c>
      <c r="H363" s="1">
        <v>0.322175732217573</v>
      </c>
      <c r="I363" s="1" t="s">
        <v>2143</v>
      </c>
      <c r="J363" s="1">
        <v>0.015748031496063</v>
      </c>
      <c r="K363" s="1">
        <v>0.0</v>
      </c>
      <c r="L363" s="1">
        <v>0.0</v>
      </c>
      <c r="M363" s="1">
        <v>0.0</v>
      </c>
      <c r="N363" s="1">
        <v>0.984251968503937</v>
      </c>
      <c r="O363" s="1">
        <v>0.0</v>
      </c>
      <c r="P363" s="1">
        <v>0.0</v>
      </c>
      <c r="Q363" s="1">
        <v>0.0</v>
      </c>
      <c r="R363" s="1" t="s">
        <v>1553</v>
      </c>
      <c r="S363" s="1">
        <v>0.0582447546837613</v>
      </c>
    </row>
    <row r="364" ht="15.75" customHeight="1">
      <c r="A364" s="1" t="s">
        <v>2144</v>
      </c>
      <c r="B364" s="1" t="s">
        <v>2145</v>
      </c>
      <c r="C364" s="1" t="s">
        <v>2146</v>
      </c>
      <c r="D364" s="1" t="s">
        <v>104</v>
      </c>
      <c r="E364" s="1">
        <v>2022.0</v>
      </c>
      <c r="F364" s="1">
        <v>1.0</v>
      </c>
      <c r="G364" s="1">
        <v>0.333333333333333</v>
      </c>
      <c r="H364" s="1">
        <v>0.177464788732394</v>
      </c>
      <c r="I364" s="1" t="s">
        <v>2147</v>
      </c>
      <c r="J364" s="1">
        <v>0.0740740740740741</v>
      </c>
      <c r="K364" s="1">
        <v>0.0</v>
      </c>
      <c r="L364" s="1">
        <v>0.0</v>
      </c>
      <c r="M364" s="1">
        <v>0.0</v>
      </c>
      <c r="N364" s="1">
        <v>0.925925925925926</v>
      </c>
      <c r="O364" s="1">
        <v>0.0</v>
      </c>
      <c r="P364" s="1">
        <v>0.0</v>
      </c>
      <c r="Q364" s="1">
        <v>0.0</v>
      </c>
      <c r="R364" s="1" t="s">
        <v>1553</v>
      </c>
      <c r="S364" s="1">
        <v>0.0576182836640705</v>
      </c>
    </row>
    <row r="365" ht="15.75" customHeight="1">
      <c r="A365" s="1" t="s">
        <v>2148</v>
      </c>
      <c r="B365" s="1" t="s">
        <v>2149</v>
      </c>
      <c r="C365" s="1" t="s">
        <v>2150</v>
      </c>
      <c r="D365" s="1" t="s">
        <v>173</v>
      </c>
      <c r="E365" s="1">
        <v>2022.0</v>
      </c>
      <c r="F365" s="1">
        <v>1.0</v>
      </c>
      <c r="G365" s="1">
        <v>0.333333333333333</v>
      </c>
      <c r="H365" s="1">
        <v>0.177464788732394</v>
      </c>
      <c r="I365" s="1" t="s">
        <v>2151</v>
      </c>
      <c r="J365" s="1">
        <v>0.0</v>
      </c>
      <c r="K365" s="1">
        <v>0.0</v>
      </c>
      <c r="L365" s="1">
        <v>0.0</v>
      </c>
      <c r="M365" s="1">
        <v>0.0</v>
      </c>
      <c r="N365" s="1">
        <v>1.0</v>
      </c>
      <c r="O365" s="1">
        <v>0.0</v>
      </c>
      <c r="P365" s="1">
        <v>0.0</v>
      </c>
      <c r="Q365" s="1">
        <v>0.0</v>
      </c>
      <c r="R365" s="1" t="s">
        <v>1553</v>
      </c>
      <c r="S365" s="1">
        <v>0.02342294858081</v>
      </c>
    </row>
    <row r="366" ht="15.75" customHeight="1">
      <c r="A366" s="1" t="s">
        <v>2152</v>
      </c>
      <c r="B366" s="1" t="s">
        <v>2153</v>
      </c>
      <c r="C366" s="1" t="s">
        <v>2154</v>
      </c>
      <c r="D366" s="1" t="s">
        <v>266</v>
      </c>
      <c r="E366" s="1">
        <v>2024.0</v>
      </c>
      <c r="F366" s="1">
        <v>1.0</v>
      </c>
      <c r="G366" s="1">
        <v>1.0</v>
      </c>
      <c r="H366" s="1">
        <v>1.08571428571429</v>
      </c>
      <c r="I366" s="1" t="s">
        <v>2155</v>
      </c>
      <c r="J366" s="1">
        <v>0.0681747753331267</v>
      </c>
      <c r="K366" s="1">
        <v>0.0</v>
      </c>
      <c r="L366" s="1">
        <v>0.0352236339221155</v>
      </c>
      <c r="M366" s="1">
        <v>0.0</v>
      </c>
      <c r="N366" s="1">
        <v>0.896601590744758</v>
      </c>
      <c r="O366" s="1">
        <v>0.0</v>
      </c>
      <c r="P366" s="1">
        <v>0.0</v>
      </c>
      <c r="Q366" s="1">
        <v>0.0</v>
      </c>
      <c r="R366" s="1" t="s">
        <v>1553</v>
      </c>
      <c r="S366" s="1">
        <v>0.0851050206335989</v>
      </c>
    </row>
    <row r="367" ht="15.75" customHeight="1">
      <c r="A367" s="1" t="s">
        <v>2156</v>
      </c>
      <c r="B367" s="1" t="s">
        <v>2157</v>
      </c>
      <c r="C367" s="1" t="s">
        <v>2158</v>
      </c>
      <c r="D367" s="1" t="s">
        <v>336</v>
      </c>
      <c r="E367" s="1">
        <v>2022.0</v>
      </c>
      <c r="F367" s="1">
        <v>1.0</v>
      </c>
      <c r="G367" s="1">
        <v>0.333333333333333</v>
      </c>
      <c r="H367" s="1">
        <v>0.177464788732394</v>
      </c>
      <c r="I367" s="1" t="s">
        <v>2159</v>
      </c>
      <c r="J367" s="1">
        <v>0.0606060606060606</v>
      </c>
      <c r="K367" s="1">
        <v>0.0</v>
      </c>
      <c r="L367" s="1">
        <v>0.0</v>
      </c>
      <c r="M367" s="1">
        <v>0.0</v>
      </c>
      <c r="N367" s="1">
        <v>0.939393939393939</v>
      </c>
      <c r="O367" s="1">
        <v>0.0</v>
      </c>
      <c r="P367" s="1">
        <v>0.0</v>
      </c>
      <c r="Q367" s="1">
        <v>0.0</v>
      </c>
      <c r="R367" s="1" t="s">
        <v>1553</v>
      </c>
      <c r="S367" s="1">
        <v>0.0300111300218961</v>
      </c>
    </row>
    <row r="368" ht="15.75" customHeight="1">
      <c r="A368" s="1" t="s">
        <v>2160</v>
      </c>
      <c r="B368" s="1" t="s">
        <v>2161</v>
      </c>
      <c r="C368" s="1" t="s">
        <v>2162</v>
      </c>
      <c r="D368" s="1" t="s">
        <v>70</v>
      </c>
      <c r="E368" s="1">
        <v>2015.0</v>
      </c>
      <c r="F368" s="1">
        <v>1.0</v>
      </c>
      <c r="G368" s="1">
        <v>0.1</v>
      </c>
      <c r="H368" s="1">
        <v>0.0456852791878173</v>
      </c>
      <c r="I368" s="1" t="s">
        <v>2163</v>
      </c>
      <c r="J368" s="1">
        <v>0.0</v>
      </c>
      <c r="K368" s="1">
        <v>0.0</v>
      </c>
      <c r="L368" s="1">
        <v>0.0</v>
      </c>
      <c r="M368" s="1">
        <v>0.0</v>
      </c>
      <c r="N368" s="1">
        <v>1.0</v>
      </c>
      <c r="O368" s="1">
        <v>0.0</v>
      </c>
      <c r="P368" s="1">
        <v>0.0</v>
      </c>
      <c r="Q368" s="1">
        <v>0.0</v>
      </c>
      <c r="R368" s="1" t="s">
        <v>1553</v>
      </c>
      <c r="S368" s="1">
        <v>0.00830262556158876</v>
      </c>
    </row>
    <row r="369" ht="15.75" customHeight="1">
      <c r="A369" s="1" t="s">
        <v>2164</v>
      </c>
      <c r="B369" s="1" t="s">
        <v>369</v>
      </c>
      <c r="C369" s="1" t="s">
        <v>2165</v>
      </c>
      <c r="D369" s="1" t="s">
        <v>64</v>
      </c>
      <c r="E369" s="1">
        <v>2014.0</v>
      </c>
      <c r="F369" s="1">
        <v>1.0</v>
      </c>
      <c r="G369" s="1">
        <v>0.0909090909090909</v>
      </c>
      <c r="H369" s="1">
        <v>0.0198019801980198</v>
      </c>
      <c r="I369" s="1" t="s">
        <v>2166</v>
      </c>
      <c r="J369" s="1">
        <v>0.0</v>
      </c>
      <c r="K369" s="1">
        <v>0.0</v>
      </c>
      <c r="L369" s="1">
        <v>0.0</v>
      </c>
      <c r="M369" s="1">
        <v>0.0</v>
      </c>
      <c r="N369" s="1">
        <v>1.0</v>
      </c>
      <c r="O369" s="1">
        <v>0.0</v>
      </c>
      <c r="P369" s="1">
        <v>0.0</v>
      </c>
      <c r="Q369" s="1">
        <v>0.0</v>
      </c>
      <c r="R369" s="1" t="s">
        <v>1553</v>
      </c>
      <c r="S369" s="1">
        <v>0.0253684477726077</v>
      </c>
    </row>
    <row r="370" ht="15.75" customHeight="1">
      <c r="A370" s="1" t="s">
        <v>2167</v>
      </c>
      <c r="B370" s="1" t="s">
        <v>369</v>
      </c>
      <c r="C370" s="1" t="s">
        <v>2168</v>
      </c>
      <c r="D370" s="1" t="s">
        <v>64</v>
      </c>
      <c r="E370" s="1">
        <v>2012.0</v>
      </c>
      <c r="F370" s="1">
        <v>1.0</v>
      </c>
      <c r="G370" s="1">
        <v>0.0769230769230769</v>
      </c>
      <c r="H370" s="1">
        <v>0.619047619047619</v>
      </c>
      <c r="I370" s="1" t="s">
        <v>2169</v>
      </c>
      <c r="J370" s="1">
        <v>0.0</v>
      </c>
      <c r="K370" s="1">
        <v>0.0</v>
      </c>
      <c r="L370" s="1">
        <v>0.0</v>
      </c>
      <c r="M370" s="1">
        <v>0.0</v>
      </c>
      <c r="N370" s="1">
        <v>1.0</v>
      </c>
      <c r="O370" s="1">
        <v>0.0</v>
      </c>
      <c r="P370" s="1">
        <v>0.0</v>
      </c>
      <c r="Q370" s="1">
        <v>0.0</v>
      </c>
      <c r="R370" s="1" t="s">
        <v>1553</v>
      </c>
      <c r="S370" s="1">
        <v>0.0253684477726077</v>
      </c>
    </row>
    <row r="371" ht="15.75" customHeight="1">
      <c r="A371" s="1" t="s">
        <v>2170</v>
      </c>
      <c r="B371" s="1" t="s">
        <v>2171</v>
      </c>
      <c r="C371" s="1" t="s">
        <v>2172</v>
      </c>
      <c r="D371" s="1" t="s">
        <v>302</v>
      </c>
      <c r="E371" s="1">
        <v>2023.0</v>
      </c>
      <c r="F371" s="1">
        <v>0.0</v>
      </c>
      <c r="G371" s="1">
        <v>0.0</v>
      </c>
      <c r="H371" s="1">
        <v>0.0</v>
      </c>
      <c r="I371" s="1" t="s">
        <v>2173</v>
      </c>
      <c r="J371" s="1">
        <v>0.0</v>
      </c>
      <c r="K371" s="1">
        <v>0.0</v>
      </c>
      <c r="L371" s="1">
        <v>0.0</v>
      </c>
      <c r="M371" s="1">
        <v>0.0</v>
      </c>
      <c r="N371" s="1">
        <v>1.0</v>
      </c>
      <c r="O371" s="1">
        <v>0.0</v>
      </c>
      <c r="P371" s="1">
        <v>0.0</v>
      </c>
      <c r="Q371" s="1">
        <v>0.0</v>
      </c>
      <c r="R371" s="1" t="s">
        <v>1553</v>
      </c>
      <c r="S371" s="1">
        <v>0.00333357017105739</v>
      </c>
    </row>
    <row r="372" ht="15.75" customHeight="1">
      <c r="A372" s="1" t="s">
        <v>2174</v>
      </c>
      <c r="B372" s="1" t="s">
        <v>2175</v>
      </c>
      <c r="C372" s="1" t="s">
        <v>2176</v>
      </c>
      <c r="D372" s="1" t="s">
        <v>138</v>
      </c>
      <c r="E372" s="1">
        <v>2023.0</v>
      </c>
      <c r="F372" s="1">
        <v>0.0</v>
      </c>
      <c r="G372" s="1">
        <v>0.0</v>
      </c>
      <c r="H372" s="1">
        <v>0.0</v>
      </c>
      <c r="I372" s="1" t="s">
        <v>2177</v>
      </c>
      <c r="J372" s="1">
        <v>0.0</v>
      </c>
      <c r="K372" s="1">
        <v>0.0</v>
      </c>
      <c r="L372" s="1">
        <v>0.0</v>
      </c>
      <c r="M372" s="1">
        <v>0.0</v>
      </c>
      <c r="N372" s="1">
        <v>1.0</v>
      </c>
      <c r="O372" s="1">
        <v>0.0</v>
      </c>
      <c r="P372" s="1">
        <v>0.0</v>
      </c>
      <c r="Q372" s="1">
        <v>0.0</v>
      </c>
      <c r="R372" s="1" t="s">
        <v>1553</v>
      </c>
      <c r="S372" s="1">
        <v>0.0339377159966422</v>
      </c>
    </row>
    <row r="373" ht="15.75" customHeight="1">
      <c r="A373" s="1" t="s">
        <v>2178</v>
      </c>
      <c r="B373" s="1" t="s">
        <v>2179</v>
      </c>
      <c r="C373" s="1" t="s">
        <v>2180</v>
      </c>
      <c r="D373" s="1" t="s">
        <v>81</v>
      </c>
      <c r="E373" s="1">
        <v>2024.0</v>
      </c>
      <c r="F373" s="1">
        <v>0.0</v>
      </c>
      <c r="G373" s="1">
        <v>0.0</v>
      </c>
      <c r="H373" s="1">
        <v>0.0</v>
      </c>
      <c r="I373" s="1" t="s">
        <v>2181</v>
      </c>
      <c r="J373" s="1">
        <v>0.0</v>
      </c>
      <c r="K373" s="1">
        <v>0.0</v>
      </c>
      <c r="L373" s="1">
        <v>0.0</v>
      </c>
      <c r="M373" s="1">
        <v>0.0</v>
      </c>
      <c r="N373" s="1">
        <v>1.0</v>
      </c>
      <c r="O373" s="1">
        <v>0.0</v>
      </c>
      <c r="P373" s="1">
        <v>0.0</v>
      </c>
      <c r="Q373" s="1">
        <v>0.0</v>
      </c>
      <c r="R373" s="1" t="s">
        <v>1553</v>
      </c>
      <c r="S373" s="1">
        <v>0.0416841056058895</v>
      </c>
    </row>
    <row r="374" ht="15.75" customHeight="1">
      <c r="A374" s="1" t="s">
        <v>2182</v>
      </c>
      <c r="B374" s="1" t="s">
        <v>2183</v>
      </c>
      <c r="C374" s="1" t="s">
        <v>2184</v>
      </c>
      <c r="D374" s="1" t="s">
        <v>175</v>
      </c>
      <c r="E374" s="1">
        <v>2022.0</v>
      </c>
      <c r="F374" s="1">
        <v>0.0</v>
      </c>
      <c r="G374" s="1">
        <v>0.0</v>
      </c>
      <c r="H374" s="1">
        <v>0.0</v>
      </c>
      <c r="I374" s="1" t="s">
        <v>2185</v>
      </c>
      <c r="J374" s="1">
        <v>0.0</v>
      </c>
      <c r="K374" s="1">
        <v>0.0</v>
      </c>
      <c r="L374" s="1">
        <v>0.0</v>
      </c>
      <c r="M374" s="1">
        <v>0.0</v>
      </c>
      <c r="N374" s="1">
        <v>1.0</v>
      </c>
      <c r="O374" s="1">
        <v>0.0</v>
      </c>
      <c r="P374" s="1">
        <v>0.0</v>
      </c>
      <c r="Q374" s="1">
        <v>0.0</v>
      </c>
      <c r="R374" s="1" t="s">
        <v>1553</v>
      </c>
      <c r="S374" s="1">
        <v>0.00847162767072693</v>
      </c>
    </row>
    <row r="375" ht="15.75" customHeight="1">
      <c r="A375" s="1" t="s">
        <v>2186</v>
      </c>
      <c r="B375" s="1" t="s">
        <v>2187</v>
      </c>
      <c r="C375" s="1" t="s">
        <v>2188</v>
      </c>
      <c r="D375" s="1" t="s">
        <v>153</v>
      </c>
      <c r="E375" s="1">
        <v>2024.0</v>
      </c>
      <c r="F375" s="1">
        <v>0.0</v>
      </c>
      <c r="G375" s="1">
        <v>0.0</v>
      </c>
      <c r="H375" s="1">
        <v>0.0</v>
      </c>
      <c r="I375" s="1" t="s">
        <v>2189</v>
      </c>
      <c r="J375" s="1">
        <v>0.0</v>
      </c>
      <c r="K375" s="1">
        <v>0.0</v>
      </c>
      <c r="L375" s="1">
        <v>0.0</v>
      </c>
      <c r="M375" s="1">
        <v>0.0</v>
      </c>
      <c r="N375" s="1">
        <v>1.0</v>
      </c>
      <c r="O375" s="1">
        <v>0.0</v>
      </c>
      <c r="P375" s="1">
        <v>0.0</v>
      </c>
      <c r="Q375" s="1">
        <v>0.0</v>
      </c>
      <c r="R375" s="1" t="s">
        <v>1553</v>
      </c>
      <c r="S375" s="1">
        <v>0.02342294858081</v>
      </c>
    </row>
    <row r="376" ht="15.75" customHeight="1">
      <c r="A376" s="1" t="s">
        <v>2190</v>
      </c>
      <c r="B376" s="1" t="s">
        <v>2191</v>
      </c>
      <c r="C376" s="1" t="s">
        <v>2192</v>
      </c>
      <c r="D376" s="1" t="s">
        <v>70</v>
      </c>
      <c r="E376" s="1">
        <v>2024.0</v>
      </c>
      <c r="F376" s="1">
        <v>0.0</v>
      </c>
      <c r="G376" s="1">
        <v>0.0</v>
      </c>
      <c r="H376" s="1">
        <v>0.0</v>
      </c>
      <c r="I376" s="1" t="s">
        <v>2193</v>
      </c>
      <c r="J376" s="1">
        <v>0.025974025974026</v>
      </c>
      <c r="K376" s="1">
        <v>0.0</v>
      </c>
      <c r="L376" s="1">
        <v>0.0</v>
      </c>
      <c r="M376" s="1">
        <v>0.0</v>
      </c>
      <c r="N376" s="1">
        <v>0.974025974025974</v>
      </c>
      <c r="O376" s="1">
        <v>0.0</v>
      </c>
      <c r="P376" s="1">
        <v>0.0</v>
      </c>
      <c r="Q376" s="1">
        <v>0.0</v>
      </c>
      <c r="R376" s="1" t="s">
        <v>1553</v>
      </c>
      <c r="S376" s="1">
        <v>0.0535755878664525</v>
      </c>
    </row>
    <row r="377" ht="15.75" customHeight="1">
      <c r="A377" s="1" t="s">
        <v>2194</v>
      </c>
      <c r="B377" s="1" t="s">
        <v>2195</v>
      </c>
      <c r="C377" s="1" t="s">
        <v>2196</v>
      </c>
      <c r="D377" s="1" t="s">
        <v>85</v>
      </c>
      <c r="E377" s="1">
        <v>2024.0</v>
      </c>
      <c r="F377" s="1">
        <v>0.0</v>
      </c>
      <c r="G377" s="1">
        <v>0.0</v>
      </c>
      <c r="H377" s="1">
        <v>0.0</v>
      </c>
      <c r="I377" s="1" t="s">
        <v>2197</v>
      </c>
      <c r="J377" s="1">
        <v>0.0140845070422535</v>
      </c>
      <c r="K377" s="1">
        <v>0.0</v>
      </c>
      <c r="L377" s="1">
        <v>0.0</v>
      </c>
      <c r="M377" s="1">
        <v>0.0</v>
      </c>
      <c r="N377" s="1">
        <v>0.985915492957746</v>
      </c>
      <c r="O377" s="1">
        <v>0.0</v>
      </c>
      <c r="P377" s="1">
        <v>0.0</v>
      </c>
      <c r="Q377" s="1">
        <v>0.0</v>
      </c>
      <c r="R377" s="1" t="s">
        <v>1553</v>
      </c>
      <c r="S377" s="1">
        <v>0.066384813151416</v>
      </c>
    </row>
    <row r="378" ht="15.75" customHeight="1">
      <c r="A378" s="1" t="s">
        <v>2198</v>
      </c>
      <c r="B378" s="1" t="s">
        <v>2199</v>
      </c>
      <c r="C378" s="1" t="s">
        <v>2200</v>
      </c>
      <c r="D378" s="1" t="s">
        <v>169</v>
      </c>
      <c r="E378" s="1">
        <v>2023.0</v>
      </c>
      <c r="F378" s="1">
        <v>0.0</v>
      </c>
      <c r="G378" s="1">
        <v>0.0</v>
      </c>
      <c r="H378" s="1">
        <v>0.0</v>
      </c>
      <c r="I378" s="1" t="s">
        <v>2201</v>
      </c>
      <c r="J378" s="1">
        <v>0.0</v>
      </c>
      <c r="K378" s="1">
        <v>0.0</v>
      </c>
      <c r="L378" s="1">
        <v>0.0</v>
      </c>
      <c r="M378" s="1">
        <v>0.0</v>
      </c>
      <c r="N378" s="1">
        <v>1.0</v>
      </c>
      <c r="O378" s="1">
        <v>0.0</v>
      </c>
      <c r="P378" s="1">
        <v>0.0</v>
      </c>
      <c r="Q378" s="1">
        <v>0.0</v>
      </c>
      <c r="R378" s="1" t="s">
        <v>1553</v>
      </c>
      <c r="S378" s="1">
        <v>0.00404597963108036</v>
      </c>
    </row>
    <row r="379" ht="15.75" customHeight="1">
      <c r="A379" s="1" t="s">
        <v>2202</v>
      </c>
      <c r="B379" s="1" t="s">
        <v>2203</v>
      </c>
      <c r="C379" s="1" t="s">
        <v>2204</v>
      </c>
      <c r="D379" s="1" t="s">
        <v>85</v>
      </c>
      <c r="E379" s="1">
        <v>2023.0</v>
      </c>
      <c r="F379" s="1">
        <v>0.0</v>
      </c>
      <c r="G379" s="1">
        <v>0.0</v>
      </c>
      <c r="H379" s="1">
        <v>0.0</v>
      </c>
      <c r="I379" s="1" t="s">
        <v>2205</v>
      </c>
      <c r="J379" s="1">
        <v>0.0</v>
      </c>
      <c r="K379" s="1">
        <v>0.0</v>
      </c>
      <c r="L379" s="1">
        <v>0.0</v>
      </c>
      <c r="M379" s="1">
        <v>0.0</v>
      </c>
      <c r="N379" s="1">
        <v>1.0</v>
      </c>
      <c r="O379" s="1">
        <v>0.0</v>
      </c>
      <c r="P379" s="1">
        <v>0.0</v>
      </c>
      <c r="Q379" s="1">
        <v>0.0</v>
      </c>
      <c r="R379" s="1" t="s">
        <v>1553</v>
      </c>
      <c r="S379" s="1">
        <v>0.028540913532121</v>
      </c>
    </row>
    <row r="380" ht="15.75" customHeight="1">
      <c r="A380" s="1" t="s">
        <v>2206</v>
      </c>
      <c r="B380" s="1" t="s">
        <v>2207</v>
      </c>
      <c r="C380" s="1" t="s">
        <v>2208</v>
      </c>
      <c r="D380" s="1" t="s">
        <v>72</v>
      </c>
      <c r="E380" s="1">
        <v>2022.0</v>
      </c>
      <c r="F380" s="1">
        <v>0.0</v>
      </c>
      <c r="G380" s="1">
        <v>0.0</v>
      </c>
      <c r="H380" s="1">
        <v>0.0</v>
      </c>
      <c r="I380" s="1" t="s">
        <v>2209</v>
      </c>
      <c r="J380" s="1">
        <v>0.154237904692616</v>
      </c>
      <c r="K380" s="1">
        <v>0.0</v>
      </c>
      <c r="L380" s="1">
        <v>0.0</v>
      </c>
      <c r="M380" s="1">
        <v>0.0</v>
      </c>
      <c r="N380" s="1">
        <v>0.845762095307385</v>
      </c>
      <c r="O380" s="1">
        <v>0.0</v>
      </c>
      <c r="P380" s="1">
        <v>0.0</v>
      </c>
      <c r="Q380" s="1">
        <v>0.0</v>
      </c>
      <c r="R380" s="1" t="s">
        <v>1553</v>
      </c>
      <c r="S380" s="1">
        <v>0.0842968935426812</v>
      </c>
    </row>
    <row r="381" ht="15.75" customHeight="1">
      <c r="A381" s="1" t="s">
        <v>2210</v>
      </c>
      <c r="B381" s="1" t="s">
        <v>2211</v>
      </c>
      <c r="C381" s="1" t="s">
        <v>2212</v>
      </c>
      <c r="D381" s="1" t="s">
        <v>159</v>
      </c>
      <c r="E381" s="1">
        <v>2022.0</v>
      </c>
      <c r="F381" s="1">
        <v>0.0</v>
      </c>
      <c r="G381" s="1">
        <v>0.0</v>
      </c>
      <c r="H381" s="1">
        <v>0.0</v>
      </c>
      <c r="I381" s="1" t="s">
        <v>2213</v>
      </c>
      <c r="J381" s="1">
        <v>0.0</v>
      </c>
      <c r="K381" s="1">
        <v>0.0</v>
      </c>
      <c r="L381" s="1">
        <v>0.0</v>
      </c>
      <c r="M381" s="1">
        <v>0.0</v>
      </c>
      <c r="N381" s="1">
        <v>1.0</v>
      </c>
      <c r="O381" s="1">
        <v>0.0</v>
      </c>
      <c r="P381" s="1">
        <v>0.0</v>
      </c>
      <c r="Q381" s="1">
        <v>0.0</v>
      </c>
      <c r="R381" s="1" t="s">
        <v>1553</v>
      </c>
      <c r="S381" s="1">
        <v>0.029053634607242</v>
      </c>
    </row>
    <row r="382" ht="15.75" customHeight="1">
      <c r="A382" s="1" t="s">
        <v>2214</v>
      </c>
      <c r="B382" s="1" t="s">
        <v>2215</v>
      </c>
      <c r="C382" s="1" t="s">
        <v>2216</v>
      </c>
      <c r="D382" s="1" t="s">
        <v>65</v>
      </c>
      <c r="E382" s="1">
        <v>2022.0</v>
      </c>
      <c r="F382" s="1">
        <v>0.0</v>
      </c>
      <c r="G382" s="1">
        <v>0.0</v>
      </c>
      <c r="H382" s="1">
        <v>0.0</v>
      </c>
      <c r="I382" s="1" t="s">
        <v>2217</v>
      </c>
      <c r="J382" s="1">
        <v>0.0</v>
      </c>
      <c r="K382" s="1">
        <v>0.0</v>
      </c>
      <c r="L382" s="1">
        <v>0.0</v>
      </c>
      <c r="M382" s="1">
        <v>0.0</v>
      </c>
      <c r="N382" s="1">
        <v>1.0</v>
      </c>
      <c r="O382" s="1">
        <v>0.0</v>
      </c>
      <c r="P382" s="1">
        <v>0.0</v>
      </c>
      <c r="Q382" s="1">
        <v>0.0</v>
      </c>
      <c r="R382" s="1" t="s">
        <v>1553</v>
      </c>
      <c r="S382" s="1">
        <v>0.0123066766381121</v>
      </c>
    </row>
    <row r="383" ht="15.75" customHeight="1">
      <c r="A383" s="1" t="s">
        <v>2218</v>
      </c>
      <c r="B383" s="1" t="s">
        <v>2219</v>
      </c>
      <c r="C383" s="1" t="s">
        <v>2220</v>
      </c>
      <c r="D383" s="1" t="s">
        <v>307</v>
      </c>
      <c r="E383" s="1">
        <v>2021.0</v>
      </c>
      <c r="F383" s="1">
        <v>0.0</v>
      </c>
      <c r="G383" s="1">
        <v>0.0</v>
      </c>
      <c r="H383" s="1">
        <v>0.0</v>
      </c>
      <c r="I383" s="1" t="s">
        <v>2221</v>
      </c>
      <c r="J383" s="1">
        <v>0.0</v>
      </c>
      <c r="K383" s="1">
        <v>0.0</v>
      </c>
      <c r="L383" s="1">
        <v>0.0</v>
      </c>
      <c r="M383" s="1">
        <v>0.0</v>
      </c>
      <c r="N383" s="1">
        <v>1.0</v>
      </c>
      <c r="O383" s="1">
        <v>0.0</v>
      </c>
      <c r="P383" s="1">
        <v>0.0</v>
      </c>
      <c r="Q383" s="1">
        <v>0.0</v>
      </c>
      <c r="R383" s="1" t="s">
        <v>1553</v>
      </c>
      <c r="S383" s="1">
        <v>0.0339098982374272</v>
      </c>
    </row>
    <row r="384" ht="15.75" customHeight="1">
      <c r="A384" s="1" t="s">
        <v>2222</v>
      </c>
      <c r="B384" s="1" t="s">
        <v>2223</v>
      </c>
      <c r="C384" s="1" t="s">
        <v>2224</v>
      </c>
      <c r="D384" s="1" t="s">
        <v>253</v>
      </c>
      <c r="E384" s="1">
        <v>2018.0</v>
      </c>
      <c r="F384" s="1">
        <v>0.0</v>
      </c>
      <c r="G384" s="1">
        <v>0.0</v>
      </c>
      <c r="H384" s="1">
        <v>0.0</v>
      </c>
      <c r="I384" s="1" t="s">
        <v>2225</v>
      </c>
      <c r="J384" s="1">
        <v>0.0</v>
      </c>
      <c r="K384" s="1">
        <v>0.0</v>
      </c>
      <c r="L384" s="1">
        <v>0.0</v>
      </c>
      <c r="M384" s="1">
        <v>0.0</v>
      </c>
      <c r="N384" s="1">
        <v>1.0</v>
      </c>
      <c r="O384" s="1">
        <v>0.0</v>
      </c>
      <c r="P384" s="1">
        <v>0.0</v>
      </c>
      <c r="Q384" s="1">
        <v>0.0</v>
      </c>
      <c r="R384" s="1" t="s">
        <v>1553</v>
      </c>
      <c r="S384" s="1">
        <v>0.00292153287930499</v>
      </c>
    </row>
    <row r="385" ht="15.75" customHeight="1">
      <c r="A385" s="1" t="s">
        <v>2226</v>
      </c>
      <c r="B385" s="1" t="s">
        <v>2227</v>
      </c>
      <c r="C385" s="1" t="s">
        <v>2228</v>
      </c>
      <c r="D385" s="1" t="s">
        <v>114</v>
      </c>
      <c r="E385" s="1">
        <v>2012.0</v>
      </c>
      <c r="F385" s="1">
        <v>0.0</v>
      </c>
      <c r="G385" s="1">
        <v>0.0</v>
      </c>
      <c r="H385" s="1">
        <v>0.0</v>
      </c>
      <c r="I385" s="1" t="s">
        <v>2229</v>
      </c>
      <c r="J385" s="1">
        <v>0.0</v>
      </c>
      <c r="K385" s="1">
        <v>0.0</v>
      </c>
      <c r="L385" s="1">
        <v>0.0</v>
      </c>
      <c r="M385" s="1">
        <v>0.0</v>
      </c>
      <c r="N385" s="1">
        <v>1.0</v>
      </c>
      <c r="O385" s="1">
        <v>0.0</v>
      </c>
      <c r="P385" s="1">
        <v>0.0</v>
      </c>
      <c r="Q385" s="1">
        <v>0.0</v>
      </c>
      <c r="R385" s="1" t="s">
        <v>1553</v>
      </c>
      <c r="S385" s="1">
        <v>0.0317255741423988</v>
      </c>
    </row>
    <row r="386" ht="15.75" customHeight="1">
      <c r="A386" s="1" t="s">
        <v>2230</v>
      </c>
      <c r="B386" s="1" t="s">
        <v>2231</v>
      </c>
      <c r="C386" s="1" t="s">
        <v>2232</v>
      </c>
      <c r="D386" s="1" t="s">
        <v>64</v>
      </c>
      <c r="E386" s="1">
        <v>2012.0</v>
      </c>
      <c r="F386" s="1">
        <v>0.0</v>
      </c>
      <c r="G386" s="1">
        <v>0.0</v>
      </c>
      <c r="H386" s="1">
        <v>0.0</v>
      </c>
      <c r="I386" s="1" t="s">
        <v>2233</v>
      </c>
      <c r="J386" s="1">
        <v>0.0</v>
      </c>
      <c r="K386" s="1">
        <v>0.0</v>
      </c>
      <c r="L386" s="1">
        <v>0.0</v>
      </c>
      <c r="M386" s="1">
        <v>0.0</v>
      </c>
      <c r="N386" s="1">
        <v>1.0</v>
      </c>
      <c r="O386" s="1">
        <v>0.0</v>
      </c>
      <c r="P386" s="1">
        <v>0.0</v>
      </c>
      <c r="Q386" s="1">
        <v>0.0</v>
      </c>
      <c r="R386" s="1" t="s">
        <v>1553</v>
      </c>
      <c r="S386" s="1">
        <v>0.0219750236585947</v>
      </c>
    </row>
    <row r="387" ht="15.75" customHeight="1">
      <c r="A387" s="1" t="s">
        <v>2234</v>
      </c>
      <c r="B387" s="1" t="s">
        <v>2235</v>
      </c>
      <c r="C387" s="1" t="s">
        <v>2236</v>
      </c>
      <c r="D387" s="1" t="s">
        <v>288</v>
      </c>
      <c r="E387" s="1">
        <v>2017.0</v>
      </c>
      <c r="F387" s="1">
        <v>37.0</v>
      </c>
      <c r="G387" s="1">
        <v>4.625</v>
      </c>
      <c r="H387" s="1">
        <v>2.90575916230366</v>
      </c>
      <c r="I387" s="1" t="s">
        <v>2237</v>
      </c>
      <c r="J387" s="1">
        <v>0.0</v>
      </c>
      <c r="K387" s="1">
        <v>0.0</v>
      </c>
      <c r="L387" s="1">
        <v>0.0</v>
      </c>
      <c r="M387" s="1">
        <v>0.0</v>
      </c>
      <c r="N387" s="1">
        <v>0.0526315789473684</v>
      </c>
      <c r="O387" s="1">
        <v>0.947368421052632</v>
      </c>
      <c r="P387" s="1">
        <v>0.0</v>
      </c>
      <c r="Q387" s="1">
        <v>0.0</v>
      </c>
      <c r="R387" s="1" t="s">
        <v>1593</v>
      </c>
      <c r="S387" s="1">
        <v>0.025220736227479</v>
      </c>
    </row>
    <row r="388" ht="15.75" customHeight="1">
      <c r="A388" s="1" t="s">
        <v>2238</v>
      </c>
      <c r="B388" s="1" t="s">
        <v>2239</v>
      </c>
      <c r="C388" s="1" t="s">
        <v>2240</v>
      </c>
      <c r="D388" s="1" t="s">
        <v>295</v>
      </c>
      <c r="E388" s="1">
        <v>2020.0</v>
      </c>
      <c r="F388" s="1">
        <v>15.0</v>
      </c>
      <c r="G388" s="1">
        <v>3.0</v>
      </c>
      <c r="H388" s="1">
        <v>0.705882352941177</v>
      </c>
      <c r="I388" s="1" t="s">
        <v>2241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1.0</v>
      </c>
      <c r="P388" s="1">
        <v>0.0</v>
      </c>
      <c r="Q388" s="1">
        <v>0.0</v>
      </c>
      <c r="R388" s="1" t="s">
        <v>1593</v>
      </c>
      <c r="S388" s="1">
        <v>0.0111799325448871</v>
      </c>
    </row>
    <row r="389" ht="15.75" customHeight="1">
      <c r="A389" s="1" t="s">
        <v>2242</v>
      </c>
      <c r="B389" s="1" t="s">
        <v>2243</v>
      </c>
      <c r="C389" s="1" t="s">
        <v>2244</v>
      </c>
      <c r="D389" s="1" t="s">
        <v>64</v>
      </c>
      <c r="E389" s="1">
        <v>2016.0</v>
      </c>
      <c r="F389" s="1">
        <v>14.0</v>
      </c>
      <c r="G389" s="1">
        <v>1.55555555555556</v>
      </c>
      <c r="H389" s="1">
        <v>1.57303370786517</v>
      </c>
      <c r="I389" s="1" t="s">
        <v>2245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1.0</v>
      </c>
      <c r="P389" s="1">
        <v>0.0</v>
      </c>
      <c r="Q389" s="1">
        <v>0.0</v>
      </c>
      <c r="R389" s="1" t="s">
        <v>1593</v>
      </c>
      <c r="S389" s="1">
        <v>0.0206396961938087</v>
      </c>
    </row>
    <row r="390" ht="15.75" customHeight="1">
      <c r="A390" s="1" t="s">
        <v>2246</v>
      </c>
      <c r="B390" s="1" t="s">
        <v>2247</v>
      </c>
      <c r="C390" s="1" t="s">
        <v>2248</v>
      </c>
      <c r="D390" s="1" t="s">
        <v>64</v>
      </c>
      <c r="E390" s="1">
        <v>2020.0</v>
      </c>
      <c r="F390" s="1">
        <v>12.0</v>
      </c>
      <c r="G390" s="1">
        <v>2.4</v>
      </c>
      <c r="H390" s="1">
        <v>0.564705882352941</v>
      </c>
      <c r="I390" s="1" t="s">
        <v>2249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1.0</v>
      </c>
      <c r="P390" s="1">
        <v>0.0</v>
      </c>
      <c r="Q390" s="1">
        <v>0.0</v>
      </c>
      <c r="R390" s="1" t="s">
        <v>1593</v>
      </c>
      <c r="S390" s="1">
        <v>0.00671900687424373</v>
      </c>
    </row>
    <row r="391" ht="15.75" customHeight="1">
      <c r="A391" s="1" t="s">
        <v>2250</v>
      </c>
      <c r="B391" s="1" t="s">
        <v>2251</v>
      </c>
      <c r="C391" s="1" t="s">
        <v>2252</v>
      </c>
      <c r="D391" s="1" t="s">
        <v>329</v>
      </c>
      <c r="E391" s="1">
        <v>2020.0</v>
      </c>
      <c r="F391" s="1">
        <v>11.0</v>
      </c>
      <c r="G391" s="1">
        <v>2.2</v>
      </c>
      <c r="H391" s="1">
        <v>0.517647058823529</v>
      </c>
      <c r="I391" s="1" t="s">
        <v>2253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1.0</v>
      </c>
      <c r="P391" s="1">
        <v>0.0</v>
      </c>
      <c r="Q391" s="1">
        <v>0.0</v>
      </c>
      <c r="R391" s="1" t="s">
        <v>1593</v>
      </c>
      <c r="S391" s="1">
        <v>0.00911255470426746</v>
      </c>
    </row>
    <row r="392" ht="15.75" customHeight="1">
      <c r="A392" s="1" t="s">
        <v>2254</v>
      </c>
      <c r="B392" s="1" t="s">
        <v>2239</v>
      </c>
      <c r="C392" s="1" t="s">
        <v>2255</v>
      </c>
      <c r="D392" s="1" t="s">
        <v>75</v>
      </c>
      <c r="E392" s="1">
        <v>2019.0</v>
      </c>
      <c r="F392" s="1">
        <v>10.0</v>
      </c>
      <c r="G392" s="1">
        <v>1.66666666666667</v>
      </c>
      <c r="H392" s="1">
        <v>1.12211221122112</v>
      </c>
      <c r="I392" s="1" t="s">
        <v>2256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1.0</v>
      </c>
      <c r="P392" s="1">
        <v>0.0</v>
      </c>
      <c r="Q392" s="1">
        <v>0.0</v>
      </c>
      <c r="R392" s="1" t="s">
        <v>1593</v>
      </c>
      <c r="S392" s="1">
        <v>0.0087283612355243</v>
      </c>
    </row>
    <row r="393" ht="15.75" customHeight="1">
      <c r="A393" s="1" t="s">
        <v>2257</v>
      </c>
      <c r="B393" s="1" t="s">
        <v>2258</v>
      </c>
      <c r="C393" s="1" t="s">
        <v>2259</v>
      </c>
      <c r="D393" s="1" t="s">
        <v>292</v>
      </c>
      <c r="E393" s="1">
        <v>2012.0</v>
      </c>
      <c r="F393" s="1">
        <v>4.0</v>
      </c>
      <c r="G393" s="1">
        <v>0.307692307692308</v>
      </c>
      <c r="H393" s="1">
        <v>2.47619047619048</v>
      </c>
      <c r="I393" s="1" t="s">
        <v>2260</v>
      </c>
      <c r="J393" s="1">
        <v>0.0</v>
      </c>
      <c r="K393" s="1">
        <v>0.0</v>
      </c>
      <c r="L393" s="1">
        <v>0.0</v>
      </c>
      <c r="M393" s="1">
        <v>0.0</v>
      </c>
      <c r="N393" s="1">
        <v>0.32</v>
      </c>
      <c r="O393" s="1">
        <v>0.68</v>
      </c>
      <c r="P393" s="1">
        <v>0.0</v>
      </c>
      <c r="Q393" s="1">
        <v>0.0</v>
      </c>
      <c r="R393" s="1" t="s">
        <v>1593</v>
      </c>
      <c r="S393" s="1">
        <v>0.0240537488840495</v>
      </c>
    </row>
    <row r="394" ht="15.75" customHeight="1">
      <c r="A394" s="1" t="s">
        <v>2261</v>
      </c>
      <c r="B394" s="1" t="s">
        <v>2262</v>
      </c>
      <c r="C394" s="1" t="s">
        <v>2263</v>
      </c>
      <c r="D394" s="1" t="s">
        <v>64</v>
      </c>
      <c r="E394" s="1">
        <v>2017.0</v>
      </c>
      <c r="F394" s="1">
        <v>4.0</v>
      </c>
      <c r="G394" s="1">
        <v>0.5</v>
      </c>
      <c r="H394" s="1">
        <v>0.31413612565445</v>
      </c>
      <c r="I394" s="1" t="s">
        <v>2264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1.0</v>
      </c>
      <c r="P394" s="1">
        <v>0.0</v>
      </c>
      <c r="Q394" s="1">
        <v>0.0</v>
      </c>
      <c r="R394" s="1" t="s">
        <v>1593</v>
      </c>
      <c r="S394" s="1">
        <v>0.00671900687424373</v>
      </c>
    </row>
    <row r="395" ht="15.75" customHeight="1">
      <c r="A395" s="1" t="s">
        <v>2265</v>
      </c>
      <c r="B395" s="1" t="s">
        <v>2266</v>
      </c>
      <c r="C395" s="1" t="s">
        <v>2267</v>
      </c>
      <c r="D395" s="1" t="s">
        <v>299</v>
      </c>
      <c r="E395" s="1">
        <v>2024.0</v>
      </c>
      <c r="F395" s="1">
        <v>2.0</v>
      </c>
      <c r="G395" s="1">
        <v>2.0</v>
      </c>
      <c r="H395" s="1">
        <v>2.17142857142857</v>
      </c>
      <c r="I395" s="1" t="s">
        <v>2268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1.0</v>
      </c>
      <c r="P395" s="1">
        <v>0.0</v>
      </c>
      <c r="Q395" s="1">
        <v>0.0</v>
      </c>
      <c r="R395" s="1" t="s">
        <v>1593</v>
      </c>
      <c r="S395" s="1">
        <v>0.00786497755978155</v>
      </c>
    </row>
    <row r="396" ht="15.75" customHeight="1">
      <c r="A396" s="1" t="s">
        <v>2269</v>
      </c>
      <c r="B396" s="1" t="s">
        <v>2270</v>
      </c>
      <c r="C396" s="1" t="s">
        <v>2271</v>
      </c>
      <c r="D396" s="1" t="s">
        <v>64</v>
      </c>
      <c r="E396" s="1">
        <v>2015.0</v>
      </c>
      <c r="F396" s="1">
        <v>2.0</v>
      </c>
      <c r="G396" s="1">
        <v>0.2</v>
      </c>
      <c r="H396" s="1">
        <v>0.0913705583756345</v>
      </c>
      <c r="I396" s="1" t="s">
        <v>2272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1.0</v>
      </c>
      <c r="P396" s="1">
        <v>0.0</v>
      </c>
      <c r="Q396" s="1">
        <v>0.0</v>
      </c>
      <c r="R396" s="1" t="s">
        <v>1593</v>
      </c>
      <c r="S396" s="1">
        <v>0.00914411132541654</v>
      </c>
    </row>
    <row r="397" ht="15.75" customHeight="1">
      <c r="A397" s="1" t="s">
        <v>2273</v>
      </c>
      <c r="B397" s="1" t="s">
        <v>2235</v>
      </c>
      <c r="C397" s="1" t="s">
        <v>2274</v>
      </c>
      <c r="D397" s="1" t="s">
        <v>282</v>
      </c>
      <c r="E397" s="1">
        <v>2019.0</v>
      </c>
      <c r="F397" s="1">
        <v>1.0</v>
      </c>
      <c r="G397" s="1">
        <v>0.166666666666667</v>
      </c>
      <c r="H397" s="1">
        <v>0.112211221122112</v>
      </c>
      <c r="I397" s="1" t="s">
        <v>2275</v>
      </c>
      <c r="J397" s="1">
        <v>0.0131578947368421</v>
      </c>
      <c r="K397" s="1">
        <v>0.0</v>
      </c>
      <c r="L397" s="1">
        <v>0.0</v>
      </c>
      <c r="M397" s="1">
        <v>0.0</v>
      </c>
      <c r="N397" s="1">
        <v>0.0</v>
      </c>
      <c r="O397" s="1">
        <v>0.986842105263158</v>
      </c>
      <c r="P397" s="1">
        <v>0.0</v>
      </c>
      <c r="Q397" s="1">
        <v>0.0</v>
      </c>
      <c r="R397" s="1" t="s">
        <v>1593</v>
      </c>
      <c r="S397" s="1">
        <v>0.0564391537192171</v>
      </c>
    </row>
    <row r="398" ht="15.75" customHeight="1">
      <c r="A398" s="1" t="s">
        <v>2276</v>
      </c>
      <c r="B398" s="1" t="s">
        <v>367</v>
      </c>
      <c r="C398" s="1" t="s">
        <v>2277</v>
      </c>
      <c r="D398" s="1" t="s">
        <v>64</v>
      </c>
      <c r="E398" s="1">
        <v>2016.0</v>
      </c>
      <c r="F398" s="1">
        <v>1.0</v>
      </c>
      <c r="G398" s="1">
        <v>0.111111111111111</v>
      </c>
      <c r="H398" s="1">
        <v>0.112359550561798</v>
      </c>
      <c r="I398" s="1" t="s">
        <v>2278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1.0</v>
      </c>
      <c r="P398" s="1">
        <v>0.0</v>
      </c>
      <c r="Q398" s="1">
        <v>0.0</v>
      </c>
      <c r="R398" s="1" t="s">
        <v>1593</v>
      </c>
      <c r="S398" s="1">
        <v>0.0181385767269999</v>
      </c>
    </row>
    <row r="399" ht="15.75" customHeight="1">
      <c r="A399" s="1" t="s">
        <v>2279</v>
      </c>
      <c r="B399" s="1" t="s">
        <v>2280</v>
      </c>
      <c r="C399" s="1" t="s">
        <v>2281</v>
      </c>
      <c r="D399" s="1" t="s">
        <v>125</v>
      </c>
      <c r="E399" s="1">
        <v>2021.0</v>
      </c>
      <c r="F399" s="1">
        <v>0.0</v>
      </c>
      <c r="G399" s="1">
        <v>0.0</v>
      </c>
      <c r="H399" s="1">
        <v>0.0</v>
      </c>
      <c r="I399" s="1" t="s">
        <v>2282</v>
      </c>
      <c r="J399" s="1">
        <v>0.162162162162162</v>
      </c>
      <c r="K399" s="1">
        <v>0.0</v>
      </c>
      <c r="L399" s="1">
        <v>0.0</v>
      </c>
      <c r="M399" s="1">
        <v>0.0</v>
      </c>
      <c r="N399" s="1">
        <v>0.0</v>
      </c>
      <c r="O399" s="1">
        <v>0.837837837837838</v>
      </c>
      <c r="P399" s="1">
        <v>0.0</v>
      </c>
      <c r="Q399" s="1">
        <v>0.0</v>
      </c>
      <c r="R399" s="1" t="s">
        <v>1593</v>
      </c>
      <c r="S399" s="1">
        <v>0.0330729987698512</v>
      </c>
    </row>
    <row r="400" ht="15.75" customHeight="1">
      <c r="A400" s="1" t="s">
        <v>2283</v>
      </c>
      <c r="B400" s="1" t="s">
        <v>2284</v>
      </c>
      <c r="C400" s="1" t="s">
        <v>2285</v>
      </c>
      <c r="D400" s="1" t="s">
        <v>152</v>
      </c>
      <c r="E400" s="1">
        <v>2022.0</v>
      </c>
      <c r="F400" s="1">
        <v>0.0</v>
      </c>
      <c r="G400" s="1">
        <v>0.0</v>
      </c>
      <c r="H400" s="1">
        <v>0.0</v>
      </c>
      <c r="I400" s="1" t="s">
        <v>2286</v>
      </c>
      <c r="J400" s="1">
        <v>0.0995850622406639</v>
      </c>
      <c r="K400" s="1">
        <v>0.0</v>
      </c>
      <c r="L400" s="1">
        <v>0.0</v>
      </c>
      <c r="M400" s="1">
        <v>0.0</v>
      </c>
      <c r="N400" s="1">
        <v>0.0</v>
      </c>
      <c r="O400" s="1">
        <v>0.900414937759336</v>
      </c>
      <c r="P400" s="1">
        <v>0.0</v>
      </c>
      <c r="Q400" s="1">
        <v>0.0</v>
      </c>
      <c r="R400" s="1" t="s">
        <v>1593</v>
      </c>
      <c r="S400" s="1">
        <v>0.0421855534741187</v>
      </c>
    </row>
    <row r="401" ht="15.75" customHeight="1">
      <c r="A401" s="1" t="s">
        <v>2287</v>
      </c>
      <c r="B401" s="1" t="s">
        <v>2288</v>
      </c>
      <c r="C401" s="1" t="s">
        <v>2289</v>
      </c>
      <c r="D401" s="1" t="s">
        <v>66</v>
      </c>
      <c r="E401" s="1">
        <v>2023.0</v>
      </c>
      <c r="F401" s="1">
        <v>0.0</v>
      </c>
      <c r="G401" s="1">
        <v>0.0</v>
      </c>
      <c r="H401" s="1">
        <v>0.0</v>
      </c>
      <c r="I401" s="1" t="s">
        <v>2290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1.0</v>
      </c>
      <c r="P401" s="1">
        <v>0.0</v>
      </c>
      <c r="Q401" s="1">
        <v>0.0</v>
      </c>
      <c r="R401" s="1" t="s">
        <v>1593</v>
      </c>
      <c r="S401" s="1">
        <v>0.0192425232507027</v>
      </c>
    </row>
    <row r="402" ht="15.75" customHeight="1">
      <c r="A402" s="1" t="s">
        <v>2291</v>
      </c>
      <c r="B402" s="1" t="s">
        <v>2292</v>
      </c>
      <c r="C402" s="1" t="s">
        <v>2293</v>
      </c>
      <c r="D402" s="1" t="s">
        <v>66</v>
      </c>
      <c r="E402" s="1">
        <v>2023.0</v>
      </c>
      <c r="F402" s="1">
        <v>0.0</v>
      </c>
      <c r="G402" s="1">
        <v>0.0</v>
      </c>
      <c r="H402" s="1">
        <v>0.0</v>
      </c>
      <c r="I402" s="1" t="s">
        <v>2294</v>
      </c>
      <c r="J402" s="1">
        <v>0.0</v>
      </c>
      <c r="K402" s="1">
        <v>0.0</v>
      </c>
      <c r="L402" s="1">
        <v>0.0</v>
      </c>
      <c r="M402" s="1">
        <v>0.0</v>
      </c>
      <c r="N402" s="1">
        <v>0.0638297872340426</v>
      </c>
      <c r="O402" s="1">
        <v>0.936170212765957</v>
      </c>
      <c r="P402" s="1">
        <v>0.0</v>
      </c>
      <c r="Q402" s="1">
        <v>0.0</v>
      </c>
      <c r="R402" s="1" t="s">
        <v>1593</v>
      </c>
      <c r="S402" s="1">
        <v>0.0206169182030524</v>
      </c>
    </row>
    <row r="403" ht="15.75" customHeight="1">
      <c r="A403" s="1" t="s">
        <v>2295</v>
      </c>
      <c r="B403" s="1" t="s">
        <v>2296</v>
      </c>
      <c r="C403" s="1" t="s">
        <v>2297</v>
      </c>
      <c r="D403" s="1" t="s">
        <v>66</v>
      </c>
      <c r="E403" s="1">
        <v>2012.0</v>
      </c>
      <c r="F403" s="1">
        <v>0.0</v>
      </c>
      <c r="G403" s="1">
        <v>0.0</v>
      </c>
      <c r="H403" s="1">
        <v>0.0</v>
      </c>
      <c r="I403" s="1" t="s">
        <v>2298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1.0</v>
      </c>
      <c r="P403" s="1">
        <v>0.0</v>
      </c>
      <c r="Q403" s="1">
        <v>0.0</v>
      </c>
      <c r="R403" s="1" t="s">
        <v>1593</v>
      </c>
      <c r="S403" s="1">
        <v>0.0192921519170958</v>
      </c>
    </row>
    <row r="404" ht="15.75" customHeight="1">
      <c r="A404" s="1" t="s">
        <v>2299</v>
      </c>
      <c r="B404" s="1" t="s">
        <v>2296</v>
      </c>
      <c r="C404" s="1" t="s">
        <v>2300</v>
      </c>
      <c r="D404" s="1" t="s">
        <v>66</v>
      </c>
      <c r="E404" s="1">
        <v>2012.0</v>
      </c>
      <c r="F404" s="1">
        <v>0.0</v>
      </c>
      <c r="G404" s="1">
        <v>0.0</v>
      </c>
      <c r="H404" s="1">
        <v>0.0</v>
      </c>
      <c r="I404" s="1" t="s">
        <v>2301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1.0</v>
      </c>
      <c r="P404" s="1">
        <v>0.0</v>
      </c>
      <c r="Q404" s="1">
        <v>0.0</v>
      </c>
      <c r="R404" s="1" t="s">
        <v>1593</v>
      </c>
      <c r="S404" s="1">
        <v>0.0192921519170958</v>
      </c>
    </row>
    <row r="405" ht="15.75" customHeight="1">
      <c r="A405" s="1" t="s">
        <v>2302</v>
      </c>
      <c r="B405" s="1" t="s">
        <v>2303</v>
      </c>
      <c r="C405" s="1" t="s">
        <v>2304</v>
      </c>
      <c r="D405" s="1" t="s">
        <v>64</v>
      </c>
      <c r="E405" s="1">
        <v>2012.0</v>
      </c>
      <c r="F405" s="1">
        <v>0.0</v>
      </c>
      <c r="G405" s="1">
        <v>0.0</v>
      </c>
      <c r="H405" s="1">
        <v>0.0</v>
      </c>
      <c r="I405" s="1" t="s">
        <v>2305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1.0</v>
      </c>
      <c r="P405" s="1">
        <v>0.0</v>
      </c>
      <c r="Q405" s="1">
        <v>0.0</v>
      </c>
      <c r="R405" s="1" t="s">
        <v>1593</v>
      </c>
      <c r="S405" s="1">
        <v>0.0145079694183893</v>
      </c>
    </row>
    <row r="406" ht="15.75" customHeight="1">
      <c r="A406" s="1" t="s">
        <v>2306</v>
      </c>
      <c r="B406" s="1" t="s">
        <v>2307</v>
      </c>
      <c r="C406" s="1" t="s">
        <v>2308</v>
      </c>
      <c r="D406" s="1" t="s">
        <v>103</v>
      </c>
      <c r="E406" s="1">
        <v>2020.0</v>
      </c>
      <c r="F406" s="1">
        <v>130.0</v>
      </c>
      <c r="G406" s="1">
        <v>26.0</v>
      </c>
      <c r="H406" s="1">
        <v>6.11764705882353</v>
      </c>
      <c r="I406" s="1" t="s">
        <v>2309</v>
      </c>
      <c r="J406" s="1">
        <v>0.0</v>
      </c>
      <c r="K406" s="1">
        <v>1.0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 t="s">
        <v>1418</v>
      </c>
      <c r="S406" s="1">
        <v>0.0637200336885076</v>
      </c>
    </row>
    <row r="407" ht="15.75" customHeight="1">
      <c r="A407" s="1" t="s">
        <v>2310</v>
      </c>
      <c r="B407" s="1" t="s">
        <v>2311</v>
      </c>
      <c r="C407" s="1" t="s">
        <v>2312</v>
      </c>
      <c r="D407" s="1" t="s">
        <v>76</v>
      </c>
      <c r="E407" s="1">
        <v>2020.0</v>
      </c>
      <c r="F407" s="1">
        <v>97.0</v>
      </c>
      <c r="G407" s="1">
        <v>19.4</v>
      </c>
      <c r="H407" s="1">
        <v>4.56470588235294</v>
      </c>
      <c r="I407" s="1" t="s">
        <v>2313</v>
      </c>
      <c r="J407" s="1">
        <v>0.0</v>
      </c>
      <c r="K407" s="1">
        <v>1.0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 t="s">
        <v>1418</v>
      </c>
      <c r="S407" s="1">
        <v>0.0670841765284857</v>
      </c>
    </row>
    <row r="408" ht="15.75" customHeight="1">
      <c r="A408" s="1" t="s">
        <v>2314</v>
      </c>
      <c r="B408" s="1" t="s">
        <v>736</v>
      </c>
      <c r="C408" s="1" t="s">
        <v>2315</v>
      </c>
      <c r="D408" s="1" t="s">
        <v>93</v>
      </c>
      <c r="E408" s="1">
        <v>2020.0</v>
      </c>
      <c r="F408" s="1">
        <v>65.0</v>
      </c>
      <c r="G408" s="1">
        <v>13.0</v>
      </c>
      <c r="H408" s="1">
        <v>3.05882352941176</v>
      </c>
      <c r="I408" s="1" t="s">
        <v>2316</v>
      </c>
      <c r="J408" s="1">
        <v>0.0</v>
      </c>
      <c r="K408" s="1">
        <v>1.0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 t="s">
        <v>1418</v>
      </c>
      <c r="S408" s="1">
        <v>0.0827823381217919</v>
      </c>
    </row>
    <row r="409" ht="15.75" customHeight="1">
      <c r="A409" s="1" t="s">
        <v>2317</v>
      </c>
      <c r="B409" s="1" t="s">
        <v>2318</v>
      </c>
      <c r="C409" s="1" t="s">
        <v>2319</v>
      </c>
      <c r="D409" s="1" t="s">
        <v>79</v>
      </c>
      <c r="E409" s="1">
        <v>2021.0</v>
      </c>
      <c r="F409" s="1">
        <v>58.0</v>
      </c>
      <c r="G409" s="1">
        <v>14.5</v>
      </c>
      <c r="H409" s="1">
        <v>4.77215189873418</v>
      </c>
      <c r="I409" s="1" t="s">
        <v>2320</v>
      </c>
      <c r="J409" s="1">
        <v>0.0</v>
      </c>
      <c r="K409" s="1">
        <v>0.866666666666667</v>
      </c>
      <c r="L409" s="1">
        <v>0.0</v>
      </c>
      <c r="M409" s="1">
        <v>0.0</v>
      </c>
      <c r="N409" s="1">
        <v>0.133333333333333</v>
      </c>
      <c r="O409" s="1">
        <v>0.0</v>
      </c>
      <c r="P409" s="1">
        <v>0.0</v>
      </c>
      <c r="Q409" s="1">
        <v>0.0</v>
      </c>
      <c r="R409" s="1" t="s">
        <v>1418</v>
      </c>
      <c r="S409" s="1">
        <v>0.0169637823261616</v>
      </c>
    </row>
    <row r="410" ht="15.75" customHeight="1">
      <c r="A410" s="1" t="s">
        <v>2321</v>
      </c>
      <c r="B410" s="1" t="s">
        <v>2322</v>
      </c>
      <c r="C410" s="1" t="s">
        <v>2323</v>
      </c>
      <c r="D410" s="1" t="s">
        <v>84</v>
      </c>
      <c r="E410" s="1">
        <v>2022.0</v>
      </c>
      <c r="F410" s="1">
        <v>56.0</v>
      </c>
      <c r="G410" s="1">
        <v>18.6666666666667</v>
      </c>
      <c r="H410" s="1">
        <v>9.93802816901408</v>
      </c>
      <c r="I410" s="1" t="s">
        <v>2324</v>
      </c>
      <c r="J410" s="1">
        <v>0.0</v>
      </c>
      <c r="K410" s="1">
        <v>1.0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 t="s">
        <v>1418</v>
      </c>
      <c r="S410" s="1">
        <v>0.0721627940340445</v>
      </c>
    </row>
    <row r="411" ht="15.75" customHeight="1">
      <c r="A411" s="1" t="s">
        <v>2325</v>
      </c>
      <c r="B411" s="1" t="s">
        <v>2326</v>
      </c>
      <c r="C411" s="1" t="s">
        <v>2327</v>
      </c>
      <c r="D411" s="1" t="s">
        <v>80</v>
      </c>
      <c r="E411" s="1">
        <v>2020.0</v>
      </c>
      <c r="F411" s="1">
        <v>51.0</v>
      </c>
      <c r="G411" s="1">
        <v>10.2</v>
      </c>
      <c r="H411" s="1">
        <v>2.4</v>
      </c>
      <c r="I411" s="1" t="s">
        <v>2328</v>
      </c>
      <c r="J411" s="1">
        <v>0.0</v>
      </c>
      <c r="K411" s="1">
        <v>1.0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 t="s">
        <v>1418</v>
      </c>
      <c r="S411" s="1">
        <v>0.0668006713178179</v>
      </c>
    </row>
    <row r="412" ht="15.75" customHeight="1">
      <c r="A412" s="1" t="s">
        <v>2329</v>
      </c>
      <c r="B412" s="1" t="s">
        <v>2330</v>
      </c>
      <c r="C412" s="1" t="s">
        <v>2331</v>
      </c>
      <c r="D412" s="1" t="s">
        <v>239</v>
      </c>
      <c r="E412" s="1">
        <v>2020.0</v>
      </c>
      <c r="F412" s="1">
        <v>50.0</v>
      </c>
      <c r="G412" s="1">
        <v>10.0</v>
      </c>
      <c r="H412" s="1">
        <v>2.35294117647059</v>
      </c>
      <c r="I412" s="1" t="s">
        <v>2332</v>
      </c>
      <c r="J412" s="1">
        <v>0.0</v>
      </c>
      <c r="K412" s="1">
        <v>1.0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 t="s">
        <v>1418</v>
      </c>
      <c r="S412" s="1">
        <v>0.00947592884073382</v>
      </c>
    </row>
    <row r="413" ht="15.75" customHeight="1">
      <c r="A413" s="1" t="s">
        <v>2333</v>
      </c>
      <c r="B413" s="1" t="s">
        <v>2334</v>
      </c>
      <c r="C413" s="1" t="s">
        <v>2335</v>
      </c>
      <c r="D413" s="1" t="s">
        <v>79</v>
      </c>
      <c r="E413" s="1">
        <v>2021.0</v>
      </c>
      <c r="F413" s="1">
        <v>44.0</v>
      </c>
      <c r="G413" s="1">
        <v>11.0</v>
      </c>
      <c r="H413" s="1">
        <v>3.62025316455696</v>
      </c>
      <c r="I413" s="1" t="s">
        <v>2336</v>
      </c>
      <c r="J413" s="1">
        <v>0.0</v>
      </c>
      <c r="K413" s="1">
        <v>1.0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 t="s">
        <v>1418</v>
      </c>
      <c r="S413" s="1">
        <v>0.00377248733526656</v>
      </c>
    </row>
    <row r="414" ht="15.75" customHeight="1">
      <c r="A414" s="1" t="s">
        <v>2337</v>
      </c>
      <c r="B414" s="1" t="s">
        <v>2338</v>
      </c>
      <c r="C414" s="1" t="s">
        <v>2339</v>
      </c>
      <c r="D414" s="1" t="s">
        <v>69</v>
      </c>
      <c r="E414" s="1">
        <v>2021.0</v>
      </c>
      <c r="F414" s="1">
        <v>44.0</v>
      </c>
      <c r="G414" s="1">
        <v>11.0</v>
      </c>
      <c r="H414" s="1">
        <v>3.62025316455696</v>
      </c>
      <c r="I414" s="1" t="s">
        <v>2340</v>
      </c>
      <c r="J414" s="1">
        <v>0.0</v>
      </c>
      <c r="K414" s="1">
        <v>1.0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 t="s">
        <v>1418</v>
      </c>
      <c r="S414" s="1">
        <v>0.0205135697009151</v>
      </c>
    </row>
    <row r="415" ht="15.75" customHeight="1">
      <c r="A415" s="1" t="s">
        <v>2341</v>
      </c>
      <c r="B415" s="1" t="s">
        <v>2342</v>
      </c>
      <c r="C415" s="1" t="s">
        <v>2343</v>
      </c>
      <c r="D415" s="1" t="s">
        <v>262</v>
      </c>
      <c r="E415" s="1">
        <v>2011.0</v>
      </c>
      <c r="F415" s="1">
        <v>33.0</v>
      </c>
      <c r="G415" s="1">
        <v>2.35714285714286</v>
      </c>
      <c r="H415" s="1">
        <v>1.71875</v>
      </c>
      <c r="I415" s="1" t="s">
        <v>2344</v>
      </c>
      <c r="J415" s="1">
        <v>0.0</v>
      </c>
      <c r="K415" s="1">
        <v>0.9375</v>
      </c>
      <c r="L415" s="1">
        <v>0.0625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 t="s">
        <v>1418</v>
      </c>
      <c r="S415" s="1">
        <v>0.047384242042605</v>
      </c>
    </row>
    <row r="416" ht="15.75" customHeight="1">
      <c r="A416" s="1" t="s">
        <v>2345</v>
      </c>
      <c r="B416" s="1" t="s">
        <v>2346</v>
      </c>
      <c r="C416" s="1" t="s">
        <v>2347</v>
      </c>
      <c r="D416" s="1" t="s">
        <v>213</v>
      </c>
      <c r="E416" s="1">
        <v>2021.0</v>
      </c>
      <c r="F416" s="1">
        <v>33.0</v>
      </c>
      <c r="G416" s="1">
        <v>8.25</v>
      </c>
      <c r="H416" s="1">
        <v>2.71518987341772</v>
      </c>
      <c r="I416" s="1" t="s">
        <v>2348</v>
      </c>
      <c r="J416" s="1">
        <v>0.0</v>
      </c>
      <c r="K416" s="1">
        <v>0.566451612903226</v>
      </c>
      <c r="L416" s="1">
        <v>0.433548387096774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 t="s">
        <v>1418</v>
      </c>
      <c r="S416" s="1">
        <v>0.0842983556302203</v>
      </c>
    </row>
    <row r="417" ht="15.75" customHeight="1">
      <c r="A417" s="1" t="s">
        <v>2349</v>
      </c>
      <c r="B417" s="1" t="s">
        <v>2350</v>
      </c>
      <c r="C417" s="1" t="s">
        <v>2351</v>
      </c>
      <c r="D417" s="1" t="s">
        <v>62</v>
      </c>
      <c r="E417" s="1">
        <v>2020.0</v>
      </c>
      <c r="F417" s="1">
        <v>32.0</v>
      </c>
      <c r="G417" s="1">
        <v>6.4</v>
      </c>
      <c r="H417" s="1">
        <v>1.50588235294118</v>
      </c>
      <c r="I417" s="1" t="s">
        <v>2352</v>
      </c>
      <c r="J417" s="1">
        <v>0.0</v>
      </c>
      <c r="K417" s="1">
        <v>1.0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 t="s">
        <v>1418</v>
      </c>
      <c r="S417" s="1">
        <v>0.0871525666120773</v>
      </c>
    </row>
    <row r="418" ht="15.75" customHeight="1">
      <c r="A418" s="1" t="s">
        <v>2353</v>
      </c>
      <c r="B418" s="1" t="s">
        <v>2354</v>
      </c>
      <c r="C418" s="1" t="s">
        <v>2355</v>
      </c>
      <c r="D418" s="1" t="s">
        <v>332</v>
      </c>
      <c r="E418" s="1">
        <v>2020.0</v>
      </c>
      <c r="F418" s="1">
        <v>29.0</v>
      </c>
      <c r="G418" s="1">
        <v>5.8</v>
      </c>
      <c r="H418" s="1">
        <v>1.36470588235294</v>
      </c>
      <c r="I418" s="1" t="s">
        <v>2356</v>
      </c>
      <c r="J418" s="1">
        <v>0.0</v>
      </c>
      <c r="K418" s="1">
        <v>1.0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 t="s">
        <v>1418</v>
      </c>
      <c r="S418" s="1">
        <v>0.0157626965049656</v>
      </c>
    </row>
    <row r="419" ht="15.75" customHeight="1">
      <c r="A419" s="1" t="s">
        <v>2357</v>
      </c>
      <c r="B419" s="1" t="s">
        <v>2358</v>
      </c>
      <c r="C419" s="1" t="s">
        <v>2359</v>
      </c>
      <c r="D419" s="1" t="s">
        <v>62</v>
      </c>
      <c r="E419" s="1">
        <v>2022.0</v>
      </c>
      <c r="F419" s="1">
        <v>29.0</v>
      </c>
      <c r="G419" s="1">
        <v>9.66666666666667</v>
      </c>
      <c r="H419" s="1">
        <v>5.14647887323944</v>
      </c>
      <c r="I419" s="1" t="s">
        <v>2360</v>
      </c>
      <c r="J419" s="1">
        <v>0.0</v>
      </c>
      <c r="K419" s="1">
        <v>1.0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 t="s">
        <v>1418</v>
      </c>
      <c r="S419" s="1">
        <v>0.0967204211209317</v>
      </c>
    </row>
    <row r="420" ht="15.75" customHeight="1">
      <c r="A420" s="1" t="s">
        <v>2361</v>
      </c>
      <c r="B420" s="1" t="s">
        <v>2362</v>
      </c>
      <c r="C420" s="1" t="s">
        <v>2363</v>
      </c>
      <c r="D420" s="1" t="s">
        <v>76</v>
      </c>
      <c r="E420" s="1">
        <v>2023.0</v>
      </c>
      <c r="F420" s="1">
        <v>28.0</v>
      </c>
      <c r="G420" s="1">
        <v>14.0</v>
      </c>
      <c r="H420" s="1">
        <v>9.02092050209205</v>
      </c>
      <c r="I420" s="1" t="s">
        <v>2364</v>
      </c>
      <c r="J420" s="1">
        <v>0.0</v>
      </c>
      <c r="K420" s="1">
        <v>1.0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 t="s">
        <v>1418</v>
      </c>
      <c r="S420" s="1">
        <v>0.0739252470808871</v>
      </c>
    </row>
    <row r="421" ht="15.75" customHeight="1">
      <c r="A421" s="1" t="s">
        <v>2365</v>
      </c>
      <c r="B421" s="1" t="s">
        <v>2366</v>
      </c>
      <c r="C421" s="1" t="s">
        <v>2367</v>
      </c>
      <c r="D421" s="1" t="s">
        <v>240</v>
      </c>
      <c r="E421" s="1">
        <v>2019.0</v>
      </c>
      <c r="F421" s="1">
        <v>25.0</v>
      </c>
      <c r="G421" s="1">
        <v>4.16666666666667</v>
      </c>
      <c r="H421" s="1">
        <v>2.80528052805281</v>
      </c>
      <c r="I421" s="1" t="s">
        <v>2368</v>
      </c>
      <c r="J421" s="1">
        <v>0.0</v>
      </c>
      <c r="K421" s="1">
        <v>1.0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 t="s">
        <v>1418</v>
      </c>
      <c r="S421" s="1">
        <v>0.070843809281889</v>
      </c>
    </row>
    <row r="422" ht="15.75" customHeight="1">
      <c r="A422" s="1" t="s">
        <v>2369</v>
      </c>
      <c r="B422" s="1" t="s">
        <v>377</v>
      </c>
      <c r="C422" s="1" t="s">
        <v>2370</v>
      </c>
      <c r="D422" s="1" t="s">
        <v>107</v>
      </c>
      <c r="E422" s="1">
        <v>2018.0</v>
      </c>
      <c r="F422" s="1">
        <v>20.0</v>
      </c>
      <c r="G422" s="1">
        <v>2.85714285714286</v>
      </c>
      <c r="H422" s="1">
        <v>1.56462585034014</v>
      </c>
      <c r="I422" s="1" t="s">
        <v>2371</v>
      </c>
      <c r="J422" s="1">
        <v>0.0</v>
      </c>
      <c r="K422" s="1">
        <v>1.0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 t="s">
        <v>1418</v>
      </c>
      <c r="S422" s="1">
        <v>0.0637200336885076</v>
      </c>
    </row>
    <row r="423" ht="15.75" customHeight="1">
      <c r="A423" s="1" t="s">
        <v>2372</v>
      </c>
      <c r="B423" s="1" t="s">
        <v>1303</v>
      </c>
      <c r="C423" s="1" t="s">
        <v>2373</v>
      </c>
      <c r="D423" s="1" t="s">
        <v>298</v>
      </c>
      <c r="E423" s="1">
        <v>2019.0</v>
      </c>
      <c r="F423" s="1">
        <v>17.0</v>
      </c>
      <c r="G423" s="1">
        <v>2.83333333333333</v>
      </c>
      <c r="H423" s="1">
        <v>1.90759075907591</v>
      </c>
      <c r="I423" s="1" t="s">
        <v>2374</v>
      </c>
      <c r="J423" s="1">
        <v>0.0</v>
      </c>
      <c r="K423" s="1">
        <v>1.0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 t="s">
        <v>1418</v>
      </c>
      <c r="S423" s="1">
        <v>0.018146848488242</v>
      </c>
    </row>
    <row r="424" ht="15.75" customHeight="1">
      <c r="A424" s="1" t="s">
        <v>2375</v>
      </c>
      <c r="B424" s="1" t="s">
        <v>2376</v>
      </c>
      <c r="C424" s="1" t="s">
        <v>2377</v>
      </c>
      <c r="D424" s="1" t="s">
        <v>62</v>
      </c>
      <c r="E424" s="1">
        <v>2017.0</v>
      </c>
      <c r="F424" s="1">
        <v>17.0</v>
      </c>
      <c r="G424" s="1">
        <v>2.125</v>
      </c>
      <c r="H424" s="1">
        <v>1.33507853403141</v>
      </c>
      <c r="I424" s="1" t="s">
        <v>2378</v>
      </c>
      <c r="J424" s="1">
        <v>0.0</v>
      </c>
      <c r="K424" s="1">
        <v>1.0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 t="s">
        <v>1418</v>
      </c>
      <c r="S424" s="1">
        <v>0.0654943670657541</v>
      </c>
    </row>
    <row r="425" ht="15.75" customHeight="1">
      <c r="A425" s="1" t="s">
        <v>2379</v>
      </c>
      <c r="B425" s="1" t="s">
        <v>2366</v>
      </c>
      <c r="C425" s="1" t="s">
        <v>2380</v>
      </c>
      <c r="D425" s="1" t="s">
        <v>62</v>
      </c>
      <c r="E425" s="1">
        <v>2019.0</v>
      </c>
      <c r="F425" s="1">
        <v>15.0</v>
      </c>
      <c r="G425" s="1">
        <v>2.5</v>
      </c>
      <c r="H425" s="1">
        <v>1.68316831683168</v>
      </c>
      <c r="I425" s="1" t="s">
        <v>2381</v>
      </c>
      <c r="J425" s="1">
        <v>0.0</v>
      </c>
      <c r="K425" s="1">
        <v>1.0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 t="s">
        <v>1418</v>
      </c>
      <c r="S425" s="1">
        <v>0.0739741426728961</v>
      </c>
    </row>
    <row r="426" ht="15.75" customHeight="1">
      <c r="A426" s="1" t="s">
        <v>2382</v>
      </c>
      <c r="B426" s="1" t="s">
        <v>778</v>
      </c>
      <c r="C426" s="1" t="s">
        <v>2383</v>
      </c>
      <c r="D426" s="1" t="s">
        <v>62</v>
      </c>
      <c r="E426" s="1">
        <v>2020.0</v>
      </c>
      <c r="F426" s="1">
        <v>14.0</v>
      </c>
      <c r="G426" s="1">
        <v>2.8</v>
      </c>
      <c r="H426" s="1">
        <v>0.658823529411765</v>
      </c>
      <c r="I426" s="1" t="s">
        <v>2384</v>
      </c>
      <c r="J426" s="1">
        <v>0.0</v>
      </c>
      <c r="K426" s="1">
        <v>0.787878787878788</v>
      </c>
      <c r="L426" s="1">
        <v>0.212121212121212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 t="s">
        <v>1418</v>
      </c>
      <c r="S426" s="1">
        <v>0.03264525327512</v>
      </c>
    </row>
    <row r="427" ht="15.75" customHeight="1">
      <c r="A427" s="1" t="s">
        <v>2385</v>
      </c>
      <c r="B427" s="1" t="s">
        <v>2386</v>
      </c>
      <c r="C427" s="1" t="s">
        <v>2387</v>
      </c>
      <c r="D427" s="1" t="s">
        <v>74</v>
      </c>
      <c r="E427" s="1">
        <v>2023.0</v>
      </c>
      <c r="F427" s="1">
        <v>13.0</v>
      </c>
      <c r="G427" s="1">
        <v>6.5</v>
      </c>
      <c r="H427" s="1">
        <v>4.18828451882845</v>
      </c>
      <c r="I427" s="1" t="s">
        <v>2388</v>
      </c>
      <c r="J427" s="1">
        <v>0.0</v>
      </c>
      <c r="K427" s="1">
        <v>1.0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 t="s">
        <v>1418</v>
      </c>
      <c r="S427" s="1">
        <v>0.0637200336885076</v>
      </c>
    </row>
    <row r="428" ht="15.75" customHeight="1">
      <c r="A428" s="1" t="s">
        <v>2389</v>
      </c>
      <c r="B428" s="1" t="s">
        <v>2390</v>
      </c>
      <c r="C428" s="1" t="s">
        <v>2391</v>
      </c>
      <c r="D428" s="1" t="s">
        <v>62</v>
      </c>
      <c r="E428" s="1">
        <v>2021.0</v>
      </c>
      <c r="F428" s="1">
        <v>11.0</v>
      </c>
      <c r="G428" s="1">
        <v>2.75</v>
      </c>
      <c r="H428" s="1">
        <v>0.905063291139241</v>
      </c>
      <c r="I428" s="1" t="s">
        <v>2392</v>
      </c>
      <c r="J428" s="1">
        <v>0.0</v>
      </c>
      <c r="K428" s="1">
        <v>0.93984962406015</v>
      </c>
      <c r="L428" s="1">
        <v>0.0601503759398496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 t="s">
        <v>1418</v>
      </c>
      <c r="S428" s="1">
        <v>0.111977402932418</v>
      </c>
    </row>
    <row r="429" ht="15.75" customHeight="1">
      <c r="A429" s="1" t="s">
        <v>2393</v>
      </c>
      <c r="B429" s="1" t="s">
        <v>2394</v>
      </c>
      <c r="C429" s="1" t="s">
        <v>2395</v>
      </c>
      <c r="D429" s="1" t="s">
        <v>62</v>
      </c>
      <c r="E429" s="1">
        <v>2021.0</v>
      </c>
      <c r="F429" s="1">
        <v>11.0</v>
      </c>
      <c r="G429" s="1">
        <v>2.75</v>
      </c>
      <c r="H429" s="1">
        <v>0.905063291139241</v>
      </c>
      <c r="I429" s="1" t="s">
        <v>2396</v>
      </c>
      <c r="J429" s="1">
        <v>0.0</v>
      </c>
      <c r="K429" s="1">
        <v>0.90689238210399</v>
      </c>
      <c r="L429" s="1">
        <v>0.0931076178960097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 t="s">
        <v>1418</v>
      </c>
      <c r="S429" s="1">
        <v>0.0678268934395954</v>
      </c>
    </row>
    <row r="430" ht="15.75" customHeight="1">
      <c r="A430" s="1" t="s">
        <v>2397</v>
      </c>
      <c r="B430" s="1" t="s">
        <v>2398</v>
      </c>
      <c r="C430" s="1" t="s">
        <v>2399</v>
      </c>
      <c r="D430" s="1" t="s">
        <v>120</v>
      </c>
      <c r="E430" s="1">
        <v>2023.0</v>
      </c>
      <c r="F430" s="1">
        <v>11.0</v>
      </c>
      <c r="G430" s="1">
        <v>5.5</v>
      </c>
      <c r="H430" s="1">
        <v>3.54393305439331</v>
      </c>
      <c r="I430" s="1" t="s">
        <v>2400</v>
      </c>
      <c r="J430" s="1">
        <v>0.0</v>
      </c>
      <c r="K430" s="1">
        <v>1.0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 t="s">
        <v>1418</v>
      </c>
      <c r="S430" s="1">
        <v>0.00783907691405917</v>
      </c>
    </row>
    <row r="431" ht="15.75" customHeight="1">
      <c r="A431" s="1" t="s">
        <v>2401</v>
      </c>
      <c r="B431" s="1" t="s">
        <v>2402</v>
      </c>
      <c r="C431" s="1" t="s">
        <v>2403</v>
      </c>
      <c r="D431" s="1" t="s">
        <v>181</v>
      </c>
      <c r="E431" s="1">
        <v>2022.0</v>
      </c>
      <c r="F431" s="1">
        <v>11.0</v>
      </c>
      <c r="G431" s="1">
        <v>3.66666666666667</v>
      </c>
      <c r="H431" s="1">
        <v>1.95211267605634</v>
      </c>
      <c r="I431" s="1" t="s">
        <v>2404</v>
      </c>
      <c r="J431" s="1">
        <v>0.0</v>
      </c>
      <c r="K431" s="1">
        <v>1.0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 t="s">
        <v>1418</v>
      </c>
      <c r="S431" s="1">
        <v>0.00213431240276317</v>
      </c>
    </row>
    <row r="432" ht="15.75" customHeight="1">
      <c r="A432" s="1" t="s">
        <v>2405</v>
      </c>
      <c r="B432" s="1" t="s">
        <v>2406</v>
      </c>
      <c r="C432" s="1" t="s">
        <v>2407</v>
      </c>
      <c r="D432" s="1" t="s">
        <v>96</v>
      </c>
      <c r="E432" s="1">
        <v>2022.0</v>
      </c>
      <c r="F432" s="1">
        <v>10.0</v>
      </c>
      <c r="G432" s="1">
        <v>3.33333333333333</v>
      </c>
      <c r="H432" s="1">
        <v>1.77464788732394</v>
      </c>
      <c r="I432" s="1" t="s">
        <v>2408</v>
      </c>
      <c r="J432" s="1">
        <v>0.0</v>
      </c>
      <c r="K432" s="1">
        <v>1.0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 t="s">
        <v>1418</v>
      </c>
      <c r="S432" s="1">
        <v>0.0701336557400801</v>
      </c>
    </row>
    <row r="433" ht="15.75" customHeight="1">
      <c r="A433" s="1" t="s">
        <v>2409</v>
      </c>
      <c r="B433" s="1" t="s">
        <v>2410</v>
      </c>
      <c r="C433" s="1" t="s">
        <v>2411</v>
      </c>
      <c r="D433" s="1" t="s">
        <v>135</v>
      </c>
      <c r="E433" s="1">
        <v>2021.0</v>
      </c>
      <c r="F433" s="1">
        <v>9.0</v>
      </c>
      <c r="G433" s="1">
        <v>2.25</v>
      </c>
      <c r="H433" s="1">
        <v>0.740506329113924</v>
      </c>
      <c r="I433" s="1" t="s">
        <v>2412</v>
      </c>
      <c r="J433" s="1">
        <v>0.0</v>
      </c>
      <c r="K433" s="1">
        <v>1.0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 t="s">
        <v>1418</v>
      </c>
      <c r="S433" s="1">
        <v>0.0637200336885076</v>
      </c>
    </row>
    <row r="434" ht="15.75" customHeight="1">
      <c r="A434" s="1" t="s">
        <v>2413</v>
      </c>
      <c r="B434" s="1" t="s">
        <v>2414</v>
      </c>
      <c r="C434" s="1" t="s">
        <v>2415</v>
      </c>
      <c r="D434" s="1" t="s">
        <v>62</v>
      </c>
      <c r="E434" s="1">
        <v>2019.0</v>
      </c>
      <c r="F434" s="1">
        <v>9.0</v>
      </c>
      <c r="G434" s="1">
        <v>1.5</v>
      </c>
      <c r="H434" s="1">
        <v>1.00990099009901</v>
      </c>
      <c r="I434" s="1" t="s">
        <v>2416</v>
      </c>
      <c r="J434" s="1">
        <v>0.0</v>
      </c>
      <c r="K434" s="1">
        <v>1.0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 t="s">
        <v>1418</v>
      </c>
      <c r="S434" s="1">
        <v>0.0679222740312157</v>
      </c>
    </row>
    <row r="435" ht="15.75" customHeight="1">
      <c r="A435" s="1" t="s">
        <v>2417</v>
      </c>
      <c r="B435" s="1" t="s">
        <v>2418</v>
      </c>
      <c r="C435" s="1" t="s">
        <v>2419</v>
      </c>
      <c r="D435" s="1" t="s">
        <v>265</v>
      </c>
      <c r="E435" s="1">
        <v>2018.0</v>
      </c>
      <c r="F435" s="1">
        <v>9.0</v>
      </c>
      <c r="G435" s="1">
        <v>1.28571428571429</v>
      </c>
      <c r="H435" s="1">
        <v>0.704081632653061</v>
      </c>
      <c r="I435" s="1" t="s">
        <v>2420</v>
      </c>
      <c r="J435" s="1">
        <v>0.0</v>
      </c>
      <c r="K435" s="1">
        <v>0.947368421052632</v>
      </c>
      <c r="L435" s="1">
        <v>0.0</v>
      </c>
      <c r="M435" s="1">
        <v>0.0</v>
      </c>
      <c r="N435" s="1">
        <v>0.0526315789473684</v>
      </c>
      <c r="O435" s="1">
        <v>0.0</v>
      </c>
      <c r="P435" s="1">
        <v>0.0</v>
      </c>
      <c r="Q435" s="1">
        <v>0.0</v>
      </c>
      <c r="R435" s="1" t="s">
        <v>1418</v>
      </c>
      <c r="S435" s="1">
        <v>0.0258880305989177</v>
      </c>
    </row>
    <row r="436" ht="15.75" customHeight="1">
      <c r="A436" s="1" t="s">
        <v>2421</v>
      </c>
      <c r="B436" s="1" t="s">
        <v>2422</v>
      </c>
      <c r="C436" s="1" t="s">
        <v>2423</v>
      </c>
      <c r="D436" s="1" t="s">
        <v>186</v>
      </c>
      <c r="E436" s="1">
        <v>2023.0</v>
      </c>
      <c r="F436" s="1">
        <v>7.0</v>
      </c>
      <c r="G436" s="1">
        <v>3.5</v>
      </c>
      <c r="H436" s="1">
        <v>2.25523012552301</v>
      </c>
      <c r="I436" s="1" t="s">
        <v>2424</v>
      </c>
      <c r="J436" s="1">
        <v>0.0</v>
      </c>
      <c r="K436" s="1">
        <v>1.0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 t="s">
        <v>1418</v>
      </c>
      <c r="S436" s="1">
        <v>0.00234095481479731</v>
      </c>
    </row>
    <row r="437" ht="15.75" customHeight="1">
      <c r="A437" s="1" t="s">
        <v>2425</v>
      </c>
      <c r="B437" s="1" t="s">
        <v>2426</v>
      </c>
      <c r="C437" s="1" t="s">
        <v>2427</v>
      </c>
      <c r="D437" s="1" t="s">
        <v>176</v>
      </c>
      <c r="E437" s="1">
        <v>2022.0</v>
      </c>
      <c r="F437" s="1">
        <v>7.0</v>
      </c>
      <c r="G437" s="1">
        <v>2.33333333333333</v>
      </c>
      <c r="H437" s="1">
        <v>1.24225352112676</v>
      </c>
      <c r="I437" s="1" t="s">
        <v>2428</v>
      </c>
      <c r="J437" s="1">
        <v>0.0</v>
      </c>
      <c r="K437" s="1">
        <v>0.733333333333333</v>
      </c>
      <c r="L437" s="1">
        <v>0.0</v>
      </c>
      <c r="M437" s="1">
        <v>0.0</v>
      </c>
      <c r="N437" s="1">
        <v>0.266666666666667</v>
      </c>
      <c r="O437" s="1">
        <v>0.0</v>
      </c>
      <c r="P437" s="1">
        <v>0.0</v>
      </c>
      <c r="Q437" s="1">
        <v>0.0</v>
      </c>
      <c r="R437" s="1" t="s">
        <v>1418</v>
      </c>
      <c r="S437" s="1">
        <v>0.0115167075776914</v>
      </c>
    </row>
    <row r="438" ht="15.75" customHeight="1">
      <c r="A438" s="1" t="s">
        <v>2429</v>
      </c>
      <c r="B438" s="1" t="s">
        <v>2430</v>
      </c>
      <c r="C438" s="1" t="s">
        <v>2431</v>
      </c>
      <c r="D438" s="1" t="s">
        <v>179</v>
      </c>
      <c r="E438" s="1">
        <v>2019.0</v>
      </c>
      <c r="F438" s="1">
        <v>7.0</v>
      </c>
      <c r="G438" s="1">
        <v>1.16666666666667</v>
      </c>
      <c r="H438" s="1">
        <v>0.785478547854785</v>
      </c>
      <c r="I438" s="1" t="s">
        <v>2432</v>
      </c>
      <c r="J438" s="1">
        <v>0.0</v>
      </c>
      <c r="K438" s="1">
        <v>1.0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 t="s">
        <v>1418</v>
      </c>
      <c r="S438" s="1">
        <v>0.0755455511628029</v>
      </c>
    </row>
    <row r="439" ht="15.75" customHeight="1">
      <c r="A439" s="1" t="s">
        <v>2433</v>
      </c>
      <c r="B439" s="1" t="s">
        <v>2434</v>
      </c>
      <c r="C439" s="1" t="s">
        <v>2435</v>
      </c>
      <c r="D439" s="1" t="s">
        <v>62</v>
      </c>
      <c r="E439" s="1">
        <v>2023.0</v>
      </c>
      <c r="F439" s="1">
        <v>7.0</v>
      </c>
      <c r="G439" s="1">
        <v>3.5</v>
      </c>
      <c r="H439" s="1">
        <v>2.25523012552301</v>
      </c>
      <c r="I439" s="1" t="s">
        <v>2436</v>
      </c>
      <c r="J439" s="1">
        <v>0.0</v>
      </c>
      <c r="K439" s="1">
        <v>1.0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 t="s">
        <v>1418</v>
      </c>
      <c r="S439" s="1">
        <v>0.0672759186782006</v>
      </c>
    </row>
    <row r="440" ht="15.75" customHeight="1">
      <c r="A440" s="1" t="s">
        <v>2437</v>
      </c>
      <c r="B440" s="1" t="s">
        <v>2438</v>
      </c>
      <c r="C440" s="1" t="s">
        <v>2439</v>
      </c>
      <c r="D440" s="1" t="s">
        <v>124</v>
      </c>
      <c r="E440" s="1">
        <v>2022.0</v>
      </c>
      <c r="F440" s="1">
        <v>7.0</v>
      </c>
      <c r="G440" s="1">
        <v>2.33333333333333</v>
      </c>
      <c r="H440" s="1">
        <v>1.24225352112676</v>
      </c>
      <c r="I440" s="1" t="s">
        <v>2440</v>
      </c>
      <c r="J440" s="1">
        <v>0.0</v>
      </c>
      <c r="K440" s="1">
        <v>1.0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 t="s">
        <v>1418</v>
      </c>
      <c r="S440" s="1">
        <v>0.0746781224259999</v>
      </c>
    </row>
    <row r="441" ht="15.75" customHeight="1">
      <c r="A441" s="1" t="s">
        <v>2441</v>
      </c>
      <c r="B441" s="1" t="s">
        <v>2442</v>
      </c>
      <c r="C441" s="1" t="s">
        <v>2443</v>
      </c>
      <c r="D441" s="1" t="s">
        <v>77</v>
      </c>
      <c r="E441" s="1">
        <v>2022.0</v>
      </c>
      <c r="F441" s="1">
        <v>7.0</v>
      </c>
      <c r="G441" s="1">
        <v>2.33333333333333</v>
      </c>
      <c r="H441" s="1">
        <v>1.24225352112676</v>
      </c>
      <c r="I441" s="1" t="s">
        <v>2444</v>
      </c>
      <c r="J441" s="1">
        <v>0.0</v>
      </c>
      <c r="K441" s="1">
        <v>1.0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 t="s">
        <v>1418</v>
      </c>
      <c r="S441" s="1">
        <v>9.44812426002088E-4</v>
      </c>
    </row>
    <row r="442" ht="15.75" customHeight="1">
      <c r="A442" s="1" t="s">
        <v>2445</v>
      </c>
      <c r="B442" s="1" t="s">
        <v>2446</v>
      </c>
      <c r="C442" s="1" t="s">
        <v>2447</v>
      </c>
      <c r="D442" s="1" t="s">
        <v>284</v>
      </c>
      <c r="E442" s="1">
        <v>2017.0</v>
      </c>
      <c r="F442" s="1">
        <v>7.0</v>
      </c>
      <c r="G442" s="1">
        <v>0.875</v>
      </c>
      <c r="H442" s="1">
        <v>0.549738219895288</v>
      </c>
      <c r="I442" s="1" t="s">
        <v>2448</v>
      </c>
      <c r="J442" s="1">
        <v>0.0</v>
      </c>
      <c r="K442" s="1">
        <v>0.75</v>
      </c>
      <c r="L442" s="1">
        <v>0.0</v>
      </c>
      <c r="M442" s="1">
        <v>0.0</v>
      </c>
      <c r="N442" s="1">
        <v>0.0</v>
      </c>
      <c r="O442" s="1">
        <v>0.25</v>
      </c>
      <c r="P442" s="1">
        <v>0.0</v>
      </c>
      <c r="Q442" s="1">
        <v>0.0</v>
      </c>
      <c r="R442" s="1" t="s">
        <v>1418</v>
      </c>
      <c r="S442" s="1">
        <v>0.00816657948534876</v>
      </c>
    </row>
    <row r="443" ht="15.75" customHeight="1">
      <c r="A443" s="1" t="s">
        <v>2449</v>
      </c>
      <c r="B443" s="1" t="s">
        <v>2450</v>
      </c>
      <c r="C443" s="1" t="s">
        <v>2451</v>
      </c>
      <c r="D443" s="1" t="s">
        <v>178</v>
      </c>
      <c r="E443" s="1">
        <v>2011.0</v>
      </c>
      <c r="F443" s="1">
        <v>7.0</v>
      </c>
      <c r="G443" s="1">
        <v>0.5</v>
      </c>
      <c r="H443" s="1">
        <v>0.364583333333333</v>
      </c>
      <c r="I443" s="1" t="s">
        <v>2452</v>
      </c>
      <c r="J443" s="1">
        <v>0.0</v>
      </c>
      <c r="K443" s="1">
        <v>1.0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 t="s">
        <v>1418</v>
      </c>
      <c r="S443" s="1">
        <v>0.08791032622185</v>
      </c>
    </row>
    <row r="444" ht="15.75" customHeight="1">
      <c r="A444" s="1" t="s">
        <v>2453</v>
      </c>
      <c r="B444" s="1" t="s">
        <v>2454</v>
      </c>
      <c r="C444" s="1" t="s">
        <v>2455</v>
      </c>
      <c r="D444" s="1" t="s">
        <v>243</v>
      </c>
      <c r="E444" s="1">
        <v>2009.0</v>
      </c>
      <c r="F444" s="1">
        <v>7.0</v>
      </c>
      <c r="G444" s="1">
        <v>0.4375</v>
      </c>
      <c r="H444" s="1">
        <v>0.91304347826087</v>
      </c>
      <c r="I444" s="1" t="s">
        <v>2456</v>
      </c>
      <c r="J444" s="1">
        <v>0.0107628996517885</v>
      </c>
      <c r="K444" s="1">
        <v>0.538144982589427</v>
      </c>
      <c r="L444" s="1">
        <v>0.0</v>
      </c>
      <c r="M444" s="1">
        <v>0.0</v>
      </c>
      <c r="N444" s="1">
        <v>0.451092117758784</v>
      </c>
      <c r="O444" s="1">
        <v>0.0</v>
      </c>
      <c r="P444" s="1">
        <v>0.0</v>
      </c>
      <c r="Q444" s="1">
        <v>0.0</v>
      </c>
      <c r="R444" s="1" t="s">
        <v>1418</v>
      </c>
      <c r="S444" s="1">
        <v>0.0767452452097821</v>
      </c>
    </row>
    <row r="445" ht="15.75" customHeight="1">
      <c r="A445" s="1" t="s">
        <v>2457</v>
      </c>
      <c r="B445" s="1" t="s">
        <v>2458</v>
      </c>
      <c r="C445" s="1" t="s">
        <v>2459</v>
      </c>
      <c r="D445" s="1" t="s">
        <v>62</v>
      </c>
      <c r="E445" s="1">
        <v>2023.0</v>
      </c>
      <c r="F445" s="1">
        <v>6.0</v>
      </c>
      <c r="G445" s="1">
        <v>3.0</v>
      </c>
      <c r="H445" s="1">
        <v>1.93305439330544</v>
      </c>
      <c r="I445" s="1" t="s">
        <v>2460</v>
      </c>
      <c r="J445" s="1">
        <v>0.0</v>
      </c>
      <c r="K445" s="1">
        <v>1.0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 t="s">
        <v>1418</v>
      </c>
      <c r="S445" s="1">
        <v>0.0670841765284857</v>
      </c>
    </row>
    <row r="446" ht="15.75" customHeight="1">
      <c r="A446" s="1" t="s">
        <v>2461</v>
      </c>
      <c r="B446" s="1" t="s">
        <v>2462</v>
      </c>
      <c r="C446" s="1" t="s">
        <v>2463</v>
      </c>
      <c r="D446" s="1" t="s">
        <v>149</v>
      </c>
      <c r="E446" s="1">
        <v>2022.0</v>
      </c>
      <c r="F446" s="1">
        <v>6.0</v>
      </c>
      <c r="G446" s="1">
        <v>2.0</v>
      </c>
      <c r="H446" s="1">
        <v>1.06478873239437</v>
      </c>
      <c r="I446" s="1" t="s">
        <v>2464</v>
      </c>
      <c r="J446" s="1">
        <v>0.0</v>
      </c>
      <c r="K446" s="1">
        <v>1.0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 t="s">
        <v>1418</v>
      </c>
      <c r="S446" s="1">
        <v>0.00198414248404007</v>
      </c>
    </row>
    <row r="447" ht="15.75" customHeight="1">
      <c r="A447" s="1" t="s">
        <v>2465</v>
      </c>
      <c r="B447" s="1" t="s">
        <v>2466</v>
      </c>
      <c r="C447" s="1" t="s">
        <v>2467</v>
      </c>
      <c r="D447" s="1" t="s">
        <v>88</v>
      </c>
      <c r="E447" s="1">
        <v>2022.0</v>
      </c>
      <c r="F447" s="1">
        <v>6.0</v>
      </c>
      <c r="G447" s="1">
        <v>2.0</v>
      </c>
      <c r="H447" s="1">
        <v>1.06478873239437</v>
      </c>
      <c r="I447" s="1" t="s">
        <v>2468</v>
      </c>
      <c r="J447" s="1">
        <v>0.0573050412217867</v>
      </c>
      <c r="K447" s="1">
        <v>0.628463305852142</v>
      </c>
      <c r="L447" s="1">
        <v>0.0</v>
      </c>
      <c r="M447" s="1">
        <v>0.0</v>
      </c>
      <c r="N447" s="1">
        <v>0.314231652926071</v>
      </c>
      <c r="O447" s="1">
        <v>0.0</v>
      </c>
      <c r="P447" s="1">
        <v>0.0</v>
      </c>
      <c r="Q447" s="1">
        <v>0.0</v>
      </c>
      <c r="R447" s="1" t="s">
        <v>1418</v>
      </c>
      <c r="S447" s="1">
        <v>0.0873681064362293</v>
      </c>
    </row>
    <row r="448" ht="15.75" customHeight="1">
      <c r="A448" s="1" t="s">
        <v>2469</v>
      </c>
      <c r="B448" s="1" t="s">
        <v>1001</v>
      </c>
      <c r="C448" s="1" t="s">
        <v>2470</v>
      </c>
      <c r="D448" s="1" t="s">
        <v>62</v>
      </c>
      <c r="E448" s="1">
        <v>2020.0</v>
      </c>
      <c r="F448" s="1">
        <v>5.0</v>
      </c>
      <c r="G448" s="1">
        <v>1.0</v>
      </c>
      <c r="H448" s="1">
        <v>0.235294117647059</v>
      </c>
      <c r="I448" s="1" t="s">
        <v>2471</v>
      </c>
      <c r="J448" s="1">
        <v>0.0</v>
      </c>
      <c r="K448" s="1">
        <v>1.0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 t="s">
        <v>1418</v>
      </c>
      <c r="S448" s="1">
        <v>0.00143565788192449</v>
      </c>
    </row>
    <row r="449" ht="15.75" customHeight="1">
      <c r="A449" s="1" t="s">
        <v>2472</v>
      </c>
      <c r="B449" s="1" t="s">
        <v>2473</v>
      </c>
      <c r="C449" s="1" t="s">
        <v>2474</v>
      </c>
      <c r="D449" s="1" t="s">
        <v>64</v>
      </c>
      <c r="E449" s="1">
        <v>2022.0</v>
      </c>
      <c r="F449" s="1">
        <v>5.0</v>
      </c>
      <c r="G449" s="1">
        <v>1.66666666666667</v>
      </c>
      <c r="H449" s="1">
        <v>0.887323943661972</v>
      </c>
      <c r="I449" s="1" t="s">
        <v>2475</v>
      </c>
      <c r="J449" s="1">
        <v>0.0</v>
      </c>
      <c r="K449" s="1">
        <v>0.808163265306122</v>
      </c>
      <c r="L449" s="1">
        <v>0.0</v>
      </c>
      <c r="M449" s="1">
        <v>0.0</v>
      </c>
      <c r="N449" s="1">
        <v>0.191836734693878</v>
      </c>
      <c r="O449" s="1">
        <v>0.0</v>
      </c>
      <c r="P449" s="1">
        <v>0.0</v>
      </c>
      <c r="Q449" s="1">
        <v>0.0</v>
      </c>
      <c r="R449" s="1" t="s">
        <v>1418</v>
      </c>
      <c r="S449" s="1">
        <v>0.0358691215947096</v>
      </c>
    </row>
    <row r="450" ht="15.75" customHeight="1">
      <c r="A450" s="1" t="s">
        <v>2476</v>
      </c>
      <c r="B450" s="1" t="s">
        <v>2477</v>
      </c>
      <c r="C450" s="1" t="s">
        <v>2478</v>
      </c>
      <c r="D450" s="1" t="s">
        <v>67</v>
      </c>
      <c r="E450" s="1">
        <v>2022.0</v>
      </c>
      <c r="F450" s="1">
        <v>5.0</v>
      </c>
      <c r="G450" s="1">
        <v>1.66666666666667</v>
      </c>
      <c r="H450" s="1">
        <v>0.887323943661972</v>
      </c>
      <c r="I450" s="1" t="s">
        <v>2479</v>
      </c>
      <c r="J450" s="1">
        <v>0.0</v>
      </c>
      <c r="K450" s="1">
        <v>1.0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 t="s">
        <v>1418</v>
      </c>
      <c r="S450" s="1">
        <v>0.0637200336885076</v>
      </c>
    </row>
    <row r="451" ht="15.75" customHeight="1">
      <c r="A451" s="1" t="s">
        <v>2480</v>
      </c>
      <c r="B451" s="1" t="s">
        <v>2481</v>
      </c>
      <c r="C451" s="1" t="s">
        <v>2482</v>
      </c>
      <c r="D451" s="1" t="s">
        <v>177</v>
      </c>
      <c r="E451" s="1">
        <v>2021.0</v>
      </c>
      <c r="F451" s="1">
        <v>5.0</v>
      </c>
      <c r="G451" s="1">
        <v>1.25</v>
      </c>
      <c r="H451" s="1">
        <v>0.411392405063291</v>
      </c>
      <c r="I451" s="1" t="s">
        <v>2483</v>
      </c>
      <c r="J451" s="1">
        <v>0.0</v>
      </c>
      <c r="K451" s="1">
        <v>1.0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 t="s">
        <v>1418</v>
      </c>
      <c r="S451" s="1">
        <v>0.0143094795519062</v>
      </c>
    </row>
    <row r="452" ht="15.75" customHeight="1">
      <c r="A452" s="1" t="s">
        <v>2484</v>
      </c>
      <c r="B452" s="1" t="s">
        <v>2485</v>
      </c>
      <c r="C452" s="1" t="s">
        <v>2486</v>
      </c>
      <c r="D452" s="1" t="s">
        <v>73</v>
      </c>
      <c r="E452" s="1">
        <v>2024.0</v>
      </c>
      <c r="F452" s="1">
        <v>5.0</v>
      </c>
      <c r="G452" s="1">
        <v>5.0</v>
      </c>
      <c r="H452" s="1">
        <v>5.42857142857143</v>
      </c>
      <c r="I452" s="1" t="s">
        <v>2487</v>
      </c>
      <c r="J452" s="1">
        <v>0.0</v>
      </c>
      <c r="K452" s="1">
        <v>1.0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 t="s">
        <v>1418</v>
      </c>
      <c r="S452" s="1">
        <v>0.0721159462142669</v>
      </c>
    </row>
    <row r="453" ht="15.75" customHeight="1">
      <c r="A453" s="1" t="s">
        <v>2488</v>
      </c>
      <c r="B453" s="1" t="s">
        <v>2489</v>
      </c>
      <c r="C453" s="1" t="s">
        <v>2490</v>
      </c>
      <c r="D453" s="1" t="s">
        <v>83</v>
      </c>
      <c r="E453" s="1">
        <v>2023.0</v>
      </c>
      <c r="F453" s="1">
        <v>5.0</v>
      </c>
      <c r="G453" s="1">
        <v>2.5</v>
      </c>
      <c r="H453" s="1">
        <v>1.61087866108787</v>
      </c>
      <c r="I453" s="1" t="s">
        <v>2491</v>
      </c>
      <c r="J453" s="1">
        <v>0.0</v>
      </c>
      <c r="K453" s="1">
        <v>1.0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 t="s">
        <v>1418</v>
      </c>
      <c r="S453" s="1">
        <v>0.0637200336885076</v>
      </c>
    </row>
    <row r="454" ht="15.75" customHeight="1">
      <c r="A454" s="1" t="s">
        <v>2492</v>
      </c>
      <c r="B454" s="1" t="s">
        <v>2493</v>
      </c>
      <c r="C454" s="1" t="s">
        <v>2494</v>
      </c>
      <c r="D454" s="1" t="s">
        <v>327</v>
      </c>
      <c r="E454" s="1">
        <v>2023.0</v>
      </c>
      <c r="F454" s="1">
        <v>5.0</v>
      </c>
      <c r="G454" s="1">
        <v>2.5</v>
      </c>
      <c r="H454" s="1">
        <v>1.61087866108787</v>
      </c>
      <c r="I454" s="1" t="s">
        <v>2495</v>
      </c>
      <c r="J454" s="1">
        <v>0.0</v>
      </c>
      <c r="K454" s="1">
        <v>1.0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 t="s">
        <v>1418</v>
      </c>
      <c r="S454" s="1">
        <v>9.44812426002088E-4</v>
      </c>
    </row>
    <row r="455" ht="15.75" customHeight="1">
      <c r="A455" s="1" t="s">
        <v>2496</v>
      </c>
      <c r="B455" s="1" t="s">
        <v>2497</v>
      </c>
      <c r="C455" s="1" t="s">
        <v>2498</v>
      </c>
      <c r="D455" s="1" t="s">
        <v>168</v>
      </c>
      <c r="E455" s="1">
        <v>2018.0</v>
      </c>
      <c r="F455" s="1">
        <v>5.0</v>
      </c>
      <c r="G455" s="1">
        <v>0.714285714285714</v>
      </c>
      <c r="H455" s="1">
        <v>0.391156462585034</v>
      </c>
      <c r="I455" s="1" t="s">
        <v>2499</v>
      </c>
      <c r="J455" s="1">
        <v>0.0</v>
      </c>
      <c r="K455" s="1">
        <v>0.781818181818182</v>
      </c>
      <c r="L455" s="1">
        <v>0.218181818181818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 t="s">
        <v>1418</v>
      </c>
      <c r="S455" s="1">
        <v>0.0298967451279063</v>
      </c>
    </row>
    <row r="456" ht="15.75" customHeight="1">
      <c r="A456" s="1" t="s">
        <v>2500</v>
      </c>
      <c r="B456" s="1" t="s">
        <v>2501</v>
      </c>
      <c r="C456" s="1" t="s">
        <v>2502</v>
      </c>
      <c r="D456" s="1" t="s">
        <v>69</v>
      </c>
      <c r="E456" s="1">
        <v>2024.0</v>
      </c>
      <c r="F456" s="1">
        <v>4.0</v>
      </c>
      <c r="G456" s="1">
        <v>4.0</v>
      </c>
      <c r="H456" s="1">
        <v>4.34285714285714</v>
      </c>
      <c r="I456" s="1" t="s">
        <v>2503</v>
      </c>
      <c r="J456" s="1">
        <v>0.0</v>
      </c>
      <c r="K456" s="1">
        <v>1.0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 t="s">
        <v>1418</v>
      </c>
      <c r="S456" s="1">
        <v>0.087335222874382</v>
      </c>
    </row>
    <row r="457" ht="15.75" customHeight="1">
      <c r="A457" s="1" t="s">
        <v>2504</v>
      </c>
      <c r="B457" s="1" t="s">
        <v>2505</v>
      </c>
      <c r="C457" s="1" t="s">
        <v>2506</v>
      </c>
      <c r="D457" s="1" t="s">
        <v>62</v>
      </c>
      <c r="E457" s="1">
        <v>2023.0</v>
      </c>
      <c r="F457" s="1">
        <v>4.0</v>
      </c>
      <c r="G457" s="1">
        <v>2.0</v>
      </c>
      <c r="H457" s="1">
        <v>1.28870292887029</v>
      </c>
      <c r="I457" s="1" t="s">
        <v>2507</v>
      </c>
      <c r="J457" s="1">
        <v>0.0</v>
      </c>
      <c r="K457" s="1">
        <v>1.0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 t="s">
        <v>1418</v>
      </c>
      <c r="S457" s="1">
        <v>0.0637200336885076</v>
      </c>
    </row>
    <row r="458" ht="15.75" customHeight="1">
      <c r="A458" s="1" t="s">
        <v>2508</v>
      </c>
      <c r="B458" s="1" t="s">
        <v>2509</v>
      </c>
      <c r="C458" s="1" t="s">
        <v>2510</v>
      </c>
      <c r="D458" s="1" t="s">
        <v>88</v>
      </c>
      <c r="E458" s="1">
        <v>2023.0</v>
      </c>
      <c r="F458" s="1">
        <v>4.0</v>
      </c>
      <c r="G458" s="1">
        <v>2.0</v>
      </c>
      <c r="H458" s="1">
        <v>1.28870292887029</v>
      </c>
      <c r="I458" s="1" t="s">
        <v>2511</v>
      </c>
      <c r="J458" s="1">
        <v>0.0</v>
      </c>
      <c r="K458" s="1">
        <v>0.72</v>
      </c>
      <c r="L458" s="1">
        <v>0.0</v>
      </c>
      <c r="M458" s="1">
        <v>0.0</v>
      </c>
      <c r="N458" s="1">
        <v>0.28</v>
      </c>
      <c r="O458" s="1">
        <v>0.0</v>
      </c>
      <c r="P458" s="1">
        <v>0.0</v>
      </c>
      <c r="Q458" s="1">
        <v>0.0</v>
      </c>
      <c r="R458" s="1" t="s">
        <v>1418</v>
      </c>
      <c r="S458" s="1">
        <v>0.0343810373183023</v>
      </c>
    </row>
    <row r="459" ht="15.75" customHeight="1">
      <c r="A459" s="1" t="s">
        <v>2512</v>
      </c>
      <c r="B459" s="1" t="s">
        <v>2513</v>
      </c>
      <c r="C459" s="1" t="s">
        <v>2514</v>
      </c>
      <c r="D459" s="1" t="s">
        <v>100</v>
      </c>
      <c r="E459" s="1">
        <v>2022.0</v>
      </c>
      <c r="F459" s="1">
        <v>3.0</v>
      </c>
      <c r="G459" s="1">
        <v>1.0</v>
      </c>
      <c r="H459" s="1">
        <v>0.532394366197183</v>
      </c>
      <c r="I459" s="1" t="s">
        <v>2515</v>
      </c>
      <c r="J459" s="1">
        <v>0.0</v>
      </c>
      <c r="K459" s="1">
        <v>0.774647887323944</v>
      </c>
      <c r="L459" s="1">
        <v>0.225352112676056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 t="s">
        <v>1418</v>
      </c>
      <c r="S459" s="1">
        <v>0.0896792067545888</v>
      </c>
    </row>
    <row r="460" ht="15.75" customHeight="1">
      <c r="A460" s="1" t="s">
        <v>2516</v>
      </c>
      <c r="B460" s="1" t="s">
        <v>2517</v>
      </c>
      <c r="C460" s="1" t="s">
        <v>2518</v>
      </c>
      <c r="D460" s="1" t="s">
        <v>125</v>
      </c>
      <c r="E460" s="1">
        <v>2022.0</v>
      </c>
      <c r="F460" s="1">
        <v>3.0</v>
      </c>
      <c r="G460" s="1">
        <v>1.0</v>
      </c>
      <c r="H460" s="1">
        <v>0.532394366197183</v>
      </c>
      <c r="I460" s="1" t="s">
        <v>2519</v>
      </c>
      <c r="J460" s="1">
        <v>0.0</v>
      </c>
      <c r="K460" s="1">
        <v>1.0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 t="s">
        <v>1418</v>
      </c>
      <c r="S460" s="1">
        <v>0.0637200336885076</v>
      </c>
    </row>
    <row r="461" ht="15.75" customHeight="1">
      <c r="A461" s="1" t="s">
        <v>2520</v>
      </c>
      <c r="B461" s="1" t="s">
        <v>2521</v>
      </c>
      <c r="C461" s="1" t="s">
        <v>2522</v>
      </c>
      <c r="D461" s="1" t="s">
        <v>62</v>
      </c>
      <c r="E461" s="1">
        <v>2021.0</v>
      </c>
      <c r="F461" s="1">
        <v>3.0</v>
      </c>
      <c r="G461" s="1">
        <v>0.75</v>
      </c>
      <c r="H461" s="1">
        <v>0.246835443037975</v>
      </c>
      <c r="I461" s="1" t="s">
        <v>2523</v>
      </c>
      <c r="J461" s="1">
        <v>0.0</v>
      </c>
      <c r="K461" s="1">
        <v>1.0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 t="s">
        <v>1418</v>
      </c>
      <c r="S461" s="1">
        <v>0.00242790696546162</v>
      </c>
    </row>
    <row r="462" ht="15.75" customHeight="1">
      <c r="A462" s="1" t="s">
        <v>2524</v>
      </c>
      <c r="B462" s="1" t="s">
        <v>2525</v>
      </c>
      <c r="C462" s="1" t="s">
        <v>2526</v>
      </c>
      <c r="D462" s="1" t="s">
        <v>222</v>
      </c>
      <c r="E462" s="1">
        <v>2023.0</v>
      </c>
      <c r="F462" s="1">
        <v>3.0</v>
      </c>
      <c r="G462" s="1">
        <v>1.5</v>
      </c>
      <c r="H462" s="1">
        <v>0.96652719665272</v>
      </c>
      <c r="I462" s="1" t="s">
        <v>2527</v>
      </c>
      <c r="J462" s="1">
        <v>0.0</v>
      </c>
      <c r="K462" s="1">
        <v>1.0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 t="s">
        <v>1418</v>
      </c>
      <c r="S462" s="1">
        <v>0.0669341157046102</v>
      </c>
    </row>
    <row r="463" ht="15.75" customHeight="1">
      <c r="A463" s="1" t="s">
        <v>2528</v>
      </c>
      <c r="B463" s="1" t="s">
        <v>2529</v>
      </c>
      <c r="C463" s="1" t="s">
        <v>2530</v>
      </c>
      <c r="D463" s="1" t="s">
        <v>62</v>
      </c>
      <c r="E463" s="1">
        <v>2024.0</v>
      </c>
      <c r="F463" s="1">
        <v>3.0</v>
      </c>
      <c r="G463" s="1">
        <v>3.0</v>
      </c>
      <c r="H463" s="1">
        <v>3.25714285714286</v>
      </c>
      <c r="I463" s="1" t="s">
        <v>2531</v>
      </c>
      <c r="J463" s="1">
        <v>0.0</v>
      </c>
      <c r="K463" s="1">
        <v>1.0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 t="s">
        <v>1418</v>
      </c>
      <c r="S463" s="1">
        <v>0.0664227544716589</v>
      </c>
    </row>
    <row r="464" ht="15.75" customHeight="1">
      <c r="A464" s="1" t="s">
        <v>2532</v>
      </c>
      <c r="B464" s="1" t="s">
        <v>2533</v>
      </c>
      <c r="C464" s="1" t="s">
        <v>2534</v>
      </c>
      <c r="D464" s="1" t="s">
        <v>67</v>
      </c>
      <c r="E464" s="1">
        <v>2022.0</v>
      </c>
      <c r="F464" s="1">
        <v>3.0</v>
      </c>
      <c r="G464" s="1">
        <v>1.0</v>
      </c>
      <c r="H464" s="1">
        <v>0.532394366197183</v>
      </c>
      <c r="I464" s="1" t="s">
        <v>2535</v>
      </c>
      <c r="J464" s="1">
        <v>0.0594427244582043</v>
      </c>
      <c r="K464" s="1">
        <v>0.940557275541796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 t="s">
        <v>1418</v>
      </c>
      <c r="S464" s="1">
        <v>0.0936386692569958</v>
      </c>
    </row>
    <row r="465" ht="15.75" customHeight="1">
      <c r="A465" s="1" t="s">
        <v>2536</v>
      </c>
      <c r="B465" s="1" t="s">
        <v>2537</v>
      </c>
      <c r="C465" s="1" t="s">
        <v>2538</v>
      </c>
      <c r="D465" s="1" t="s">
        <v>95</v>
      </c>
      <c r="E465" s="1">
        <v>2021.0</v>
      </c>
      <c r="F465" s="1">
        <v>3.0</v>
      </c>
      <c r="G465" s="1">
        <v>0.75</v>
      </c>
      <c r="H465" s="1">
        <v>0.246835443037975</v>
      </c>
      <c r="I465" s="1" t="s">
        <v>2539</v>
      </c>
      <c r="J465" s="1">
        <v>0.0</v>
      </c>
      <c r="K465" s="1">
        <v>1.0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 t="s">
        <v>1418</v>
      </c>
      <c r="S465" s="1">
        <v>0.0637200336885076</v>
      </c>
    </row>
    <row r="466" ht="15.75" customHeight="1">
      <c r="A466" s="1" t="s">
        <v>2540</v>
      </c>
      <c r="B466" s="1" t="s">
        <v>2541</v>
      </c>
      <c r="C466" s="1" t="s">
        <v>2542</v>
      </c>
      <c r="D466" s="1" t="s">
        <v>142</v>
      </c>
      <c r="E466" s="1">
        <v>2024.0</v>
      </c>
      <c r="F466" s="1">
        <v>3.0</v>
      </c>
      <c r="G466" s="1">
        <v>3.0</v>
      </c>
      <c r="H466" s="1">
        <v>3.25714285714286</v>
      </c>
      <c r="I466" s="1" t="s">
        <v>2543</v>
      </c>
      <c r="J466" s="1">
        <v>0.0</v>
      </c>
      <c r="K466" s="1">
        <v>1.0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 t="s">
        <v>1418</v>
      </c>
      <c r="S466" s="1">
        <v>0.0637200336885076</v>
      </c>
    </row>
    <row r="467" ht="15.75" customHeight="1">
      <c r="A467" s="1" t="s">
        <v>2544</v>
      </c>
      <c r="B467" s="1" t="s">
        <v>2545</v>
      </c>
      <c r="C467" s="1" t="s">
        <v>2546</v>
      </c>
      <c r="D467" s="1" t="s">
        <v>97</v>
      </c>
      <c r="E467" s="1">
        <v>2023.0</v>
      </c>
      <c r="F467" s="1">
        <v>3.0</v>
      </c>
      <c r="G467" s="1">
        <v>1.5</v>
      </c>
      <c r="H467" s="1">
        <v>0.96652719665272</v>
      </c>
      <c r="I467" s="1" t="s">
        <v>2547</v>
      </c>
      <c r="J467" s="1">
        <v>0.0</v>
      </c>
      <c r="K467" s="1">
        <v>1.0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 t="s">
        <v>1418</v>
      </c>
      <c r="S467" s="1">
        <v>0.0717453588273394</v>
      </c>
    </row>
    <row r="468" ht="15.75" customHeight="1">
      <c r="A468" s="1" t="s">
        <v>2548</v>
      </c>
      <c r="B468" s="1" t="s">
        <v>2549</v>
      </c>
      <c r="C468" s="1" t="s">
        <v>2550</v>
      </c>
      <c r="D468" s="1" t="s">
        <v>254</v>
      </c>
      <c r="E468" s="1">
        <v>2023.0</v>
      </c>
      <c r="F468" s="1">
        <v>3.0</v>
      </c>
      <c r="G468" s="1">
        <v>1.5</v>
      </c>
      <c r="H468" s="1">
        <v>0.96652719665272</v>
      </c>
      <c r="I468" s="1" t="s">
        <v>2551</v>
      </c>
      <c r="J468" s="1">
        <v>0.0</v>
      </c>
      <c r="K468" s="1">
        <v>1.0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 t="s">
        <v>1418</v>
      </c>
      <c r="S468" s="1">
        <v>0.0871578470278911</v>
      </c>
    </row>
    <row r="469" ht="15.75" customHeight="1">
      <c r="A469" s="1" t="s">
        <v>2552</v>
      </c>
      <c r="B469" s="1" t="s">
        <v>2497</v>
      </c>
      <c r="C469" s="1" t="s">
        <v>2553</v>
      </c>
      <c r="D469" s="1" t="s">
        <v>200</v>
      </c>
      <c r="E469" s="1">
        <v>2019.0</v>
      </c>
      <c r="F469" s="1">
        <v>3.0</v>
      </c>
      <c r="G469" s="1">
        <v>0.5</v>
      </c>
      <c r="H469" s="1">
        <v>0.336633663366337</v>
      </c>
      <c r="I469" s="1" t="s">
        <v>2554</v>
      </c>
      <c r="J469" s="1">
        <v>0.0</v>
      </c>
      <c r="K469" s="1">
        <v>1.0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 t="s">
        <v>1418</v>
      </c>
      <c r="S469" s="1">
        <v>0.0874901035965154</v>
      </c>
    </row>
    <row r="470" ht="15.75" customHeight="1">
      <c r="A470" s="1" t="s">
        <v>2555</v>
      </c>
      <c r="B470" s="1" t="s">
        <v>2556</v>
      </c>
      <c r="C470" s="1" t="s">
        <v>2557</v>
      </c>
      <c r="D470" s="1" t="s">
        <v>174</v>
      </c>
      <c r="E470" s="1">
        <v>2023.0</v>
      </c>
      <c r="F470" s="1">
        <v>2.0</v>
      </c>
      <c r="G470" s="1">
        <v>1.0</v>
      </c>
      <c r="H470" s="1">
        <v>0.644351464435146</v>
      </c>
      <c r="I470" s="1" t="s">
        <v>2558</v>
      </c>
      <c r="J470" s="1">
        <v>0.0</v>
      </c>
      <c r="K470" s="1">
        <v>1.0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 t="s">
        <v>1418</v>
      </c>
      <c r="S470" s="1">
        <v>0.0232351814651154</v>
      </c>
    </row>
    <row r="471" ht="15.75" customHeight="1">
      <c r="A471" s="1" t="s">
        <v>2559</v>
      </c>
      <c r="B471" s="1" t="s">
        <v>2560</v>
      </c>
      <c r="C471" s="1" t="s">
        <v>2561</v>
      </c>
      <c r="D471" s="1" t="s">
        <v>274</v>
      </c>
      <c r="E471" s="1">
        <v>2019.0</v>
      </c>
      <c r="F471" s="1">
        <v>2.0</v>
      </c>
      <c r="G471" s="1">
        <v>0.333333333333333</v>
      </c>
      <c r="H471" s="1">
        <v>0.224422442244224</v>
      </c>
      <c r="I471" s="1" t="s">
        <v>2562</v>
      </c>
      <c r="J471" s="1">
        <v>0.0</v>
      </c>
      <c r="K471" s="1">
        <v>1.0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 t="s">
        <v>1418</v>
      </c>
      <c r="S471" s="1">
        <v>0.0702188620507532</v>
      </c>
    </row>
    <row r="472" ht="15.75" customHeight="1">
      <c r="A472" s="1" t="s">
        <v>2563</v>
      </c>
      <c r="B472" s="1" t="s">
        <v>2564</v>
      </c>
      <c r="C472" s="1" t="s">
        <v>2565</v>
      </c>
      <c r="D472" s="1" t="s">
        <v>92</v>
      </c>
      <c r="E472" s="1">
        <v>2024.0</v>
      </c>
      <c r="F472" s="1">
        <v>2.0</v>
      </c>
      <c r="G472" s="1">
        <v>2.0</v>
      </c>
      <c r="H472" s="1">
        <v>2.17142857142857</v>
      </c>
      <c r="I472" s="1" t="s">
        <v>2566</v>
      </c>
      <c r="J472" s="1">
        <v>0.0</v>
      </c>
      <c r="K472" s="1">
        <v>1.0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 t="s">
        <v>1418</v>
      </c>
      <c r="S472" s="1">
        <v>0.0108653778300625</v>
      </c>
    </row>
    <row r="473" ht="15.75" customHeight="1">
      <c r="A473" s="1" t="s">
        <v>2567</v>
      </c>
      <c r="B473" s="1" t="s">
        <v>2568</v>
      </c>
      <c r="C473" s="1" t="s">
        <v>2569</v>
      </c>
      <c r="D473" s="1" t="s">
        <v>73</v>
      </c>
      <c r="E473" s="1">
        <v>2023.0</v>
      </c>
      <c r="F473" s="1">
        <v>2.0</v>
      </c>
      <c r="G473" s="1">
        <v>1.0</v>
      </c>
      <c r="H473" s="1">
        <v>0.644351464435146</v>
      </c>
      <c r="I473" s="1" t="s">
        <v>2570</v>
      </c>
      <c r="J473" s="1">
        <v>0.0</v>
      </c>
      <c r="K473" s="1">
        <v>1.0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 t="s">
        <v>1418</v>
      </c>
      <c r="S473" s="1">
        <v>0.0779628687721429</v>
      </c>
    </row>
    <row r="474" ht="15.75" customHeight="1">
      <c r="A474" s="1" t="s">
        <v>2571</v>
      </c>
      <c r="B474" s="1" t="s">
        <v>2572</v>
      </c>
      <c r="C474" s="1" t="s">
        <v>2573</v>
      </c>
      <c r="D474" s="1" t="s">
        <v>62</v>
      </c>
      <c r="E474" s="1">
        <v>2020.0</v>
      </c>
      <c r="F474" s="1">
        <v>2.0</v>
      </c>
      <c r="G474" s="1">
        <v>0.4</v>
      </c>
      <c r="H474" s="1">
        <v>0.0941176470588235</v>
      </c>
      <c r="I474" s="1" t="s">
        <v>2574</v>
      </c>
      <c r="J474" s="1">
        <v>0.0</v>
      </c>
      <c r="K474" s="1">
        <v>1.0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 t="s">
        <v>1418</v>
      </c>
      <c r="S474" s="1">
        <v>0.0637200336885076</v>
      </c>
    </row>
    <row r="475" ht="15.75" customHeight="1">
      <c r="A475" s="1" t="s">
        <v>2575</v>
      </c>
      <c r="B475" s="1" t="s">
        <v>2576</v>
      </c>
      <c r="C475" s="1" t="s">
        <v>2577</v>
      </c>
      <c r="D475" s="1" t="s">
        <v>276</v>
      </c>
      <c r="E475" s="1">
        <v>2024.0</v>
      </c>
      <c r="F475" s="1">
        <v>2.0</v>
      </c>
      <c r="G475" s="1">
        <v>2.0</v>
      </c>
      <c r="H475" s="1">
        <v>2.17142857142857</v>
      </c>
      <c r="I475" s="1" t="s">
        <v>2578</v>
      </c>
      <c r="J475" s="1">
        <v>0.0</v>
      </c>
      <c r="K475" s="1">
        <v>1.0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 t="s">
        <v>1418</v>
      </c>
      <c r="S475" s="1">
        <v>0.0637200336885076</v>
      </c>
    </row>
    <row r="476" ht="15.75" customHeight="1">
      <c r="A476" s="1" t="s">
        <v>2579</v>
      </c>
      <c r="B476" s="1" t="s">
        <v>2580</v>
      </c>
      <c r="C476" s="1" t="s">
        <v>2581</v>
      </c>
      <c r="D476" s="1" t="s">
        <v>99</v>
      </c>
      <c r="E476" s="1">
        <v>2024.0</v>
      </c>
      <c r="F476" s="1">
        <v>2.0</v>
      </c>
      <c r="G476" s="1">
        <v>2.0</v>
      </c>
      <c r="H476" s="1">
        <v>2.17142857142857</v>
      </c>
      <c r="I476" s="1" t="s">
        <v>2582</v>
      </c>
      <c r="J476" s="1">
        <v>0.0</v>
      </c>
      <c r="K476" s="1">
        <v>1.0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 t="s">
        <v>1418</v>
      </c>
      <c r="S476" s="1">
        <v>0.0109580887374923</v>
      </c>
    </row>
    <row r="477" ht="15.75" customHeight="1">
      <c r="A477" s="1" t="s">
        <v>2583</v>
      </c>
      <c r="B477" s="1" t="s">
        <v>2584</v>
      </c>
      <c r="C477" s="1" t="s">
        <v>2585</v>
      </c>
      <c r="D477" s="1" t="s">
        <v>84</v>
      </c>
      <c r="E477" s="1">
        <v>2023.0</v>
      </c>
      <c r="F477" s="1">
        <v>2.0</v>
      </c>
      <c r="G477" s="1">
        <v>1.0</v>
      </c>
      <c r="H477" s="1">
        <v>0.644351464435146</v>
      </c>
      <c r="I477" s="1" t="s">
        <v>2586</v>
      </c>
      <c r="J477" s="1">
        <v>0.0</v>
      </c>
      <c r="K477" s="1">
        <v>1.0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 t="s">
        <v>1418</v>
      </c>
      <c r="S477" s="1">
        <v>0.0637200336885076</v>
      </c>
    </row>
    <row r="478" ht="15.75" customHeight="1">
      <c r="A478" s="1" t="s">
        <v>2587</v>
      </c>
      <c r="B478" s="1" t="s">
        <v>2588</v>
      </c>
      <c r="C478" s="1" t="s">
        <v>2589</v>
      </c>
      <c r="D478" s="1" t="s">
        <v>236</v>
      </c>
      <c r="E478" s="1">
        <v>2023.0</v>
      </c>
      <c r="F478" s="1">
        <v>2.0</v>
      </c>
      <c r="G478" s="1">
        <v>1.0</v>
      </c>
      <c r="H478" s="1">
        <v>0.644351464435146</v>
      </c>
      <c r="I478" s="1" t="s">
        <v>2590</v>
      </c>
      <c r="J478" s="1">
        <v>0.0</v>
      </c>
      <c r="K478" s="1">
        <v>1.0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 t="s">
        <v>1418</v>
      </c>
      <c r="S478" s="1">
        <v>0.0637200336885076</v>
      </c>
    </row>
    <row r="479" ht="15.75" customHeight="1">
      <c r="A479" s="1" t="s">
        <v>2591</v>
      </c>
      <c r="B479" s="1" t="s">
        <v>2592</v>
      </c>
      <c r="C479" s="1" t="s">
        <v>2593</v>
      </c>
      <c r="D479" s="1" t="s">
        <v>271</v>
      </c>
      <c r="E479" s="1">
        <v>2023.0</v>
      </c>
      <c r="F479" s="1">
        <v>2.0</v>
      </c>
      <c r="G479" s="1">
        <v>1.0</v>
      </c>
      <c r="H479" s="1">
        <v>0.644351464435146</v>
      </c>
      <c r="I479" s="1" t="s">
        <v>2594</v>
      </c>
      <c r="J479" s="1">
        <v>0.0</v>
      </c>
      <c r="K479" s="1">
        <v>1.0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 t="s">
        <v>1418</v>
      </c>
      <c r="S479" s="1">
        <v>0.0670047800346505</v>
      </c>
    </row>
    <row r="480" ht="15.75" customHeight="1">
      <c r="A480" s="1" t="s">
        <v>2595</v>
      </c>
      <c r="B480" s="1" t="s">
        <v>2596</v>
      </c>
      <c r="C480" s="1" t="s">
        <v>2597</v>
      </c>
      <c r="D480" s="1" t="s">
        <v>313</v>
      </c>
      <c r="E480" s="1">
        <v>2023.0</v>
      </c>
      <c r="F480" s="1">
        <v>2.0</v>
      </c>
      <c r="G480" s="1">
        <v>1.0</v>
      </c>
      <c r="H480" s="1">
        <v>0.644351464435146</v>
      </c>
      <c r="I480" s="1" t="s">
        <v>2598</v>
      </c>
      <c r="J480" s="1">
        <v>0.0</v>
      </c>
      <c r="K480" s="1">
        <v>1.0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 t="s">
        <v>1418</v>
      </c>
      <c r="S480" s="1">
        <v>0.00662202662716732</v>
      </c>
    </row>
    <row r="481" ht="15.75" customHeight="1">
      <c r="A481" s="1" t="s">
        <v>2599</v>
      </c>
      <c r="B481" s="1" t="s">
        <v>2600</v>
      </c>
      <c r="C481" s="1" t="s">
        <v>2601</v>
      </c>
      <c r="D481" s="1" t="s">
        <v>88</v>
      </c>
      <c r="E481" s="1">
        <v>2022.0</v>
      </c>
      <c r="F481" s="1">
        <v>2.0</v>
      </c>
      <c r="G481" s="1">
        <v>0.666666666666667</v>
      </c>
      <c r="H481" s="1">
        <v>0.354929577464789</v>
      </c>
      <c r="I481" s="1" t="s">
        <v>2602</v>
      </c>
      <c r="J481" s="1">
        <v>0.0</v>
      </c>
      <c r="K481" s="1">
        <v>1.0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 t="s">
        <v>1418</v>
      </c>
      <c r="S481" s="1">
        <v>0.0637200336885076</v>
      </c>
    </row>
    <row r="482" ht="15.75" customHeight="1">
      <c r="A482" s="1" t="s">
        <v>2603</v>
      </c>
      <c r="B482" s="1" t="s">
        <v>2604</v>
      </c>
      <c r="C482" s="1" t="s">
        <v>2605</v>
      </c>
      <c r="D482" s="1" t="s">
        <v>106</v>
      </c>
      <c r="E482" s="1">
        <v>2019.0</v>
      </c>
      <c r="F482" s="1">
        <v>2.0</v>
      </c>
      <c r="G482" s="1">
        <v>0.333333333333333</v>
      </c>
      <c r="H482" s="1">
        <v>0.224422442244224</v>
      </c>
      <c r="I482" s="1" t="s">
        <v>2606</v>
      </c>
      <c r="J482" s="1">
        <v>0.0</v>
      </c>
      <c r="K482" s="1">
        <v>1.0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 t="s">
        <v>1418</v>
      </c>
      <c r="S482" s="1">
        <v>0.0127703299002974</v>
      </c>
    </row>
    <row r="483" ht="15.75" customHeight="1">
      <c r="A483" s="1" t="s">
        <v>2607</v>
      </c>
      <c r="B483" s="1" t="s">
        <v>2608</v>
      </c>
      <c r="C483" s="1" t="s">
        <v>2609</v>
      </c>
      <c r="D483" s="1" t="s">
        <v>62</v>
      </c>
      <c r="E483" s="1">
        <v>2023.0</v>
      </c>
      <c r="F483" s="1">
        <v>1.0</v>
      </c>
      <c r="G483" s="1">
        <v>0.5</v>
      </c>
      <c r="H483" s="1">
        <v>0.322175732217573</v>
      </c>
      <c r="I483" s="1" t="s">
        <v>2610</v>
      </c>
      <c r="J483" s="1">
        <v>0.0</v>
      </c>
      <c r="K483" s="1">
        <v>1.0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 t="s">
        <v>1418</v>
      </c>
      <c r="S483" s="1">
        <v>0.0890673041734454</v>
      </c>
    </row>
    <row r="484" ht="15.75" customHeight="1">
      <c r="A484" s="1" t="s">
        <v>2611</v>
      </c>
      <c r="B484" s="1" t="s">
        <v>2612</v>
      </c>
      <c r="C484" s="1" t="s">
        <v>2613</v>
      </c>
      <c r="D484" s="1" t="s">
        <v>86</v>
      </c>
      <c r="E484" s="1">
        <v>2023.0</v>
      </c>
      <c r="F484" s="1">
        <v>1.0</v>
      </c>
      <c r="G484" s="1">
        <v>0.5</v>
      </c>
      <c r="H484" s="1">
        <v>0.322175732217573</v>
      </c>
      <c r="I484" s="1" t="s">
        <v>2614</v>
      </c>
      <c r="J484" s="1">
        <v>0.0</v>
      </c>
      <c r="K484" s="1">
        <v>0.959302325581395</v>
      </c>
      <c r="L484" s="1">
        <v>0.0406976744186047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 t="s">
        <v>1418</v>
      </c>
      <c r="S484" s="1">
        <v>0.0552249813575885</v>
      </c>
    </row>
    <row r="485" ht="15.75" customHeight="1">
      <c r="A485" s="1" t="s">
        <v>2615</v>
      </c>
      <c r="B485" s="1" t="s">
        <v>2616</v>
      </c>
      <c r="C485" s="1" t="s">
        <v>2617</v>
      </c>
      <c r="D485" s="1" t="s">
        <v>69</v>
      </c>
      <c r="E485" s="1">
        <v>2023.0</v>
      </c>
      <c r="F485" s="1">
        <v>1.0</v>
      </c>
      <c r="G485" s="1">
        <v>0.5</v>
      </c>
      <c r="H485" s="1">
        <v>0.322175732217573</v>
      </c>
      <c r="I485" s="1" t="s">
        <v>2618</v>
      </c>
      <c r="J485" s="1">
        <v>0.0</v>
      </c>
      <c r="K485" s="1">
        <v>0.604938271604938</v>
      </c>
      <c r="L485" s="1">
        <v>0.395061728395062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 t="s">
        <v>1418</v>
      </c>
      <c r="S485" s="1">
        <v>0.0693302457658778</v>
      </c>
    </row>
    <row r="486" ht="15.75" customHeight="1">
      <c r="A486" s="1" t="s">
        <v>2619</v>
      </c>
      <c r="B486" s="1" t="s">
        <v>2620</v>
      </c>
      <c r="C486" s="1" t="s">
        <v>2621</v>
      </c>
      <c r="D486" s="1" t="s">
        <v>86</v>
      </c>
      <c r="E486" s="1">
        <v>2024.0</v>
      </c>
      <c r="F486" s="1">
        <v>1.0</v>
      </c>
      <c r="G486" s="1">
        <v>1.0</v>
      </c>
      <c r="H486" s="1">
        <v>1.08571428571429</v>
      </c>
      <c r="I486" s="1" t="s">
        <v>2622</v>
      </c>
      <c r="J486" s="1">
        <v>0.0</v>
      </c>
      <c r="K486" s="1">
        <v>1.0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 t="s">
        <v>1418</v>
      </c>
      <c r="S486" s="1">
        <v>0.0835056820813854</v>
      </c>
    </row>
    <row r="487" ht="15.75" customHeight="1">
      <c r="A487" s="1" t="s">
        <v>2623</v>
      </c>
      <c r="B487" s="1" t="s">
        <v>2624</v>
      </c>
      <c r="C487" s="1" t="s">
        <v>2625</v>
      </c>
      <c r="D487" s="1" t="s">
        <v>130</v>
      </c>
      <c r="E487" s="1">
        <v>2022.0</v>
      </c>
      <c r="F487" s="1">
        <v>1.0</v>
      </c>
      <c r="G487" s="1">
        <v>0.333333333333333</v>
      </c>
      <c r="H487" s="1">
        <v>0.177464788732394</v>
      </c>
      <c r="I487" s="1" t="s">
        <v>2626</v>
      </c>
      <c r="J487" s="1">
        <v>0.0</v>
      </c>
      <c r="K487" s="1">
        <v>1.0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 t="s">
        <v>1418</v>
      </c>
      <c r="S487" s="1">
        <v>0.0661479406539692</v>
      </c>
    </row>
    <row r="488" ht="15.75" customHeight="1">
      <c r="A488" s="1" t="s">
        <v>2627</v>
      </c>
      <c r="B488" s="1" t="s">
        <v>2628</v>
      </c>
      <c r="C488" s="1" t="s">
        <v>2629</v>
      </c>
      <c r="D488" s="1" t="s">
        <v>92</v>
      </c>
      <c r="E488" s="1">
        <v>2019.0</v>
      </c>
      <c r="F488" s="1">
        <v>1.0</v>
      </c>
      <c r="G488" s="1">
        <v>0.166666666666667</v>
      </c>
      <c r="H488" s="1">
        <v>0.112211221122112</v>
      </c>
      <c r="I488" s="1" t="s">
        <v>2630</v>
      </c>
      <c r="J488" s="1">
        <v>0.0</v>
      </c>
      <c r="K488" s="1">
        <v>1.0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 t="s">
        <v>1418</v>
      </c>
      <c r="S488" s="1">
        <v>0.00480460776747327</v>
      </c>
    </row>
    <row r="489" ht="15.75" customHeight="1">
      <c r="A489" s="1" t="s">
        <v>2631</v>
      </c>
      <c r="B489" s="1" t="s">
        <v>2632</v>
      </c>
      <c r="C489" s="1" t="s">
        <v>2633</v>
      </c>
      <c r="D489" s="1" t="s">
        <v>210</v>
      </c>
      <c r="E489" s="1">
        <v>2024.0</v>
      </c>
      <c r="F489" s="1">
        <v>1.0</v>
      </c>
      <c r="G489" s="1">
        <v>1.0</v>
      </c>
      <c r="H489" s="1">
        <v>1.08571428571429</v>
      </c>
      <c r="I489" s="1" t="s">
        <v>2634</v>
      </c>
      <c r="J489" s="1">
        <v>0.0</v>
      </c>
      <c r="K489" s="1">
        <v>1.0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 t="s">
        <v>1418</v>
      </c>
      <c r="S489" s="1">
        <v>0.00526557913475233</v>
      </c>
    </row>
    <row r="490" ht="15.75" customHeight="1">
      <c r="A490" s="1" t="s">
        <v>2635</v>
      </c>
      <c r="B490" s="1" t="s">
        <v>2636</v>
      </c>
      <c r="C490" s="1" t="s">
        <v>2637</v>
      </c>
      <c r="D490" s="1" t="s">
        <v>71</v>
      </c>
      <c r="E490" s="1">
        <v>2024.0</v>
      </c>
      <c r="F490" s="1">
        <v>1.0</v>
      </c>
      <c r="G490" s="1">
        <v>1.0</v>
      </c>
      <c r="H490" s="1">
        <v>1.08571428571429</v>
      </c>
      <c r="I490" s="1" t="s">
        <v>2638</v>
      </c>
      <c r="J490" s="1">
        <v>0.0</v>
      </c>
      <c r="K490" s="1">
        <v>0.731707317073171</v>
      </c>
      <c r="L490" s="1">
        <v>0.268292682926829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 t="s">
        <v>1418</v>
      </c>
      <c r="S490" s="1">
        <v>0.0545453346778949</v>
      </c>
    </row>
    <row r="491" ht="15.75" customHeight="1">
      <c r="A491" s="1" t="s">
        <v>2639</v>
      </c>
      <c r="B491" s="1" t="s">
        <v>2640</v>
      </c>
      <c r="C491" s="1" t="s">
        <v>2641</v>
      </c>
      <c r="D491" s="1" t="s">
        <v>217</v>
      </c>
      <c r="E491" s="1">
        <v>2019.0</v>
      </c>
      <c r="F491" s="1">
        <v>1.0</v>
      </c>
      <c r="G491" s="1">
        <v>0.166666666666667</v>
      </c>
      <c r="H491" s="1">
        <v>0.112211221122112</v>
      </c>
      <c r="I491" s="1" t="s">
        <v>2642</v>
      </c>
      <c r="J491" s="1">
        <v>0.0</v>
      </c>
      <c r="K491" s="1">
        <v>1.0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 t="s">
        <v>1418</v>
      </c>
      <c r="S491" s="1">
        <v>0.0637200336885076</v>
      </c>
    </row>
    <row r="492" ht="15.75" customHeight="1">
      <c r="A492" s="1" t="s">
        <v>2643</v>
      </c>
      <c r="B492" s="1" t="s">
        <v>2644</v>
      </c>
      <c r="C492" s="1" t="s">
        <v>2645</v>
      </c>
      <c r="D492" s="1" t="s">
        <v>218</v>
      </c>
      <c r="E492" s="1">
        <v>2018.0</v>
      </c>
      <c r="F492" s="1">
        <v>1.0</v>
      </c>
      <c r="G492" s="1">
        <v>0.142857142857143</v>
      </c>
      <c r="H492" s="1">
        <v>0.0782312925170068</v>
      </c>
      <c r="I492" s="1" t="s">
        <v>2646</v>
      </c>
      <c r="J492" s="1">
        <v>0.0</v>
      </c>
      <c r="K492" s="1">
        <v>1.0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 t="s">
        <v>1418</v>
      </c>
      <c r="S492" s="1">
        <v>0.0656633035901922</v>
      </c>
    </row>
    <row r="493" ht="15.75" customHeight="1">
      <c r="A493" s="1" t="s">
        <v>2647</v>
      </c>
      <c r="B493" s="1" t="s">
        <v>2648</v>
      </c>
      <c r="C493" s="1" t="s">
        <v>2649</v>
      </c>
      <c r="D493" s="1" t="s">
        <v>233</v>
      </c>
      <c r="E493" s="1">
        <v>2024.0</v>
      </c>
      <c r="F493" s="1">
        <v>0.0</v>
      </c>
      <c r="G493" s="1">
        <v>0.0</v>
      </c>
      <c r="H493" s="1">
        <v>0.0</v>
      </c>
      <c r="I493" s="1" t="s">
        <v>2650</v>
      </c>
      <c r="J493" s="1">
        <v>0.157894736842105</v>
      </c>
      <c r="K493" s="1">
        <v>0.842105263157895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 t="s">
        <v>1418</v>
      </c>
      <c r="S493" s="1">
        <v>0.0152221277576994</v>
      </c>
    </row>
    <row r="494" ht="15.75" customHeight="1">
      <c r="A494" s="1" t="s">
        <v>2651</v>
      </c>
      <c r="B494" s="1" t="s">
        <v>2652</v>
      </c>
      <c r="C494" s="1" t="s">
        <v>2653</v>
      </c>
      <c r="D494" s="1" t="s">
        <v>62</v>
      </c>
      <c r="E494" s="1">
        <v>2024.0</v>
      </c>
      <c r="F494" s="1">
        <v>0.0</v>
      </c>
      <c r="G494" s="1">
        <v>0.0</v>
      </c>
      <c r="H494" s="1">
        <v>0.0</v>
      </c>
      <c r="I494" s="1" t="s">
        <v>2654</v>
      </c>
      <c r="J494" s="1">
        <v>0.0</v>
      </c>
      <c r="K494" s="1">
        <v>0.9375</v>
      </c>
      <c r="L494" s="1">
        <v>0.0625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 t="s">
        <v>1418</v>
      </c>
      <c r="S494" s="1">
        <v>0.0499716209737104</v>
      </c>
    </row>
    <row r="495" ht="15.75" customHeight="1">
      <c r="A495" s="1" t="s">
        <v>2655</v>
      </c>
      <c r="B495" s="1" t="s">
        <v>2656</v>
      </c>
      <c r="C495" s="1" t="s">
        <v>2657</v>
      </c>
      <c r="D495" s="1" t="s">
        <v>194</v>
      </c>
      <c r="E495" s="1">
        <v>2023.0</v>
      </c>
      <c r="F495" s="1">
        <v>0.0</v>
      </c>
      <c r="G495" s="1">
        <v>0.0</v>
      </c>
      <c r="H495" s="1">
        <v>0.0</v>
      </c>
      <c r="I495" s="1" t="s">
        <v>2658</v>
      </c>
      <c r="J495" s="1">
        <v>0.0</v>
      </c>
      <c r="K495" s="1">
        <v>1.0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 t="s">
        <v>1418</v>
      </c>
      <c r="S495" s="1">
        <v>0.0685246414559808</v>
      </c>
    </row>
    <row r="496" ht="15.75" customHeight="1">
      <c r="A496" s="1" t="s">
        <v>2659</v>
      </c>
      <c r="B496" s="1" t="s">
        <v>2660</v>
      </c>
      <c r="C496" s="1" t="s">
        <v>2661</v>
      </c>
      <c r="D496" s="1" t="s">
        <v>272</v>
      </c>
      <c r="E496" s="1">
        <v>2023.0</v>
      </c>
      <c r="F496" s="1">
        <v>0.0</v>
      </c>
      <c r="G496" s="1">
        <v>0.0</v>
      </c>
      <c r="H496" s="1">
        <v>0.0</v>
      </c>
      <c r="I496" s="1" t="s">
        <v>2662</v>
      </c>
      <c r="J496" s="1">
        <v>0.0</v>
      </c>
      <c r="K496" s="1">
        <v>1.0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 t="s">
        <v>1418</v>
      </c>
      <c r="S496" s="1">
        <v>0.0637200336885076</v>
      </c>
    </row>
    <row r="497" ht="15.75" customHeight="1">
      <c r="A497" s="1" t="s">
        <v>2663</v>
      </c>
      <c r="B497" s="1" t="s">
        <v>2664</v>
      </c>
      <c r="C497" s="1" t="s">
        <v>2665</v>
      </c>
      <c r="D497" s="1" t="s">
        <v>315</v>
      </c>
      <c r="E497" s="1">
        <v>2024.0</v>
      </c>
      <c r="F497" s="1">
        <v>0.0</v>
      </c>
      <c r="G497" s="1">
        <v>0.0</v>
      </c>
      <c r="H497" s="1">
        <v>0.0</v>
      </c>
      <c r="I497" s="1" t="s">
        <v>2666</v>
      </c>
      <c r="J497" s="1">
        <v>0.0</v>
      </c>
      <c r="K497" s="1">
        <v>1.0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 t="s">
        <v>1418</v>
      </c>
      <c r="S497" s="1">
        <v>0.0637200336885076</v>
      </c>
    </row>
    <row r="498" ht="15.75" customHeight="1">
      <c r="A498" s="1" t="s">
        <v>2667</v>
      </c>
      <c r="B498" s="1" t="s">
        <v>2668</v>
      </c>
      <c r="C498" s="1" t="s">
        <v>2669</v>
      </c>
      <c r="D498" s="1" t="s">
        <v>195</v>
      </c>
      <c r="E498" s="1">
        <v>2024.0</v>
      </c>
      <c r="F498" s="1">
        <v>0.0</v>
      </c>
      <c r="G498" s="1">
        <v>0.0</v>
      </c>
      <c r="H498" s="1">
        <v>0.0</v>
      </c>
      <c r="I498" s="1" t="s">
        <v>2670</v>
      </c>
      <c r="J498" s="1">
        <v>0.0</v>
      </c>
      <c r="K498" s="1">
        <v>1.0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 t="s">
        <v>1418</v>
      </c>
      <c r="S498" s="1">
        <v>0.00242790696546162</v>
      </c>
    </row>
    <row r="499" ht="15.75" customHeight="1">
      <c r="A499" s="1" t="s">
        <v>2671</v>
      </c>
      <c r="B499" s="1" t="s">
        <v>2672</v>
      </c>
      <c r="C499" s="1" t="s">
        <v>2673</v>
      </c>
      <c r="D499" s="1" t="s">
        <v>247</v>
      </c>
      <c r="E499" s="1">
        <v>2024.0</v>
      </c>
      <c r="F499" s="1">
        <v>0.0</v>
      </c>
      <c r="G499" s="1">
        <v>0.0</v>
      </c>
      <c r="H499" s="1">
        <v>0.0</v>
      </c>
      <c r="I499" s="1" t="s">
        <v>2674</v>
      </c>
      <c r="J499" s="1">
        <v>0.0174672489082969</v>
      </c>
      <c r="K499" s="1">
        <v>0.982532751091703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 t="s">
        <v>1418</v>
      </c>
      <c r="S499" s="1">
        <v>0.0582211916535894</v>
      </c>
    </row>
    <row r="500" ht="15.75" customHeight="1">
      <c r="A500" s="1" t="s">
        <v>2675</v>
      </c>
      <c r="B500" s="1" t="s">
        <v>2676</v>
      </c>
      <c r="C500" s="1" t="s">
        <v>2677</v>
      </c>
      <c r="D500" s="1" t="s">
        <v>93</v>
      </c>
      <c r="E500" s="1">
        <v>2024.0</v>
      </c>
      <c r="F500" s="1">
        <v>0.0</v>
      </c>
      <c r="G500" s="1">
        <v>0.0</v>
      </c>
      <c r="H500" s="1">
        <v>0.0</v>
      </c>
      <c r="I500" s="1" t="s">
        <v>2678</v>
      </c>
      <c r="J500" s="1">
        <v>0.0</v>
      </c>
      <c r="K500" s="1">
        <v>1.0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 t="s">
        <v>1418</v>
      </c>
      <c r="S500" s="1">
        <v>0.0820157795206892</v>
      </c>
    </row>
    <row r="501" ht="15.75" customHeight="1">
      <c r="A501" s="1" t="s">
        <v>2679</v>
      </c>
      <c r="B501" s="1" t="s">
        <v>2680</v>
      </c>
      <c r="C501" s="1" t="s">
        <v>2681</v>
      </c>
      <c r="D501" s="1" t="s">
        <v>98</v>
      </c>
      <c r="E501" s="1">
        <v>2024.0</v>
      </c>
      <c r="F501" s="1">
        <v>0.0</v>
      </c>
      <c r="G501" s="1">
        <v>0.0</v>
      </c>
      <c r="H501" s="1">
        <v>0.0</v>
      </c>
      <c r="I501" s="1" t="s">
        <v>2682</v>
      </c>
      <c r="J501" s="1">
        <v>0.0</v>
      </c>
      <c r="K501" s="1">
        <v>1.0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 t="s">
        <v>1418</v>
      </c>
      <c r="S501" s="1">
        <v>0.0670841765284857</v>
      </c>
    </row>
    <row r="502" ht="15.75" customHeight="1">
      <c r="A502" s="1" t="s">
        <v>2683</v>
      </c>
      <c r="B502" s="1" t="s">
        <v>2684</v>
      </c>
      <c r="C502" s="1" t="s">
        <v>2685</v>
      </c>
      <c r="D502" s="1" t="s">
        <v>67</v>
      </c>
      <c r="E502" s="1">
        <v>2024.0</v>
      </c>
      <c r="F502" s="1">
        <v>0.0</v>
      </c>
      <c r="G502" s="1">
        <v>0.0</v>
      </c>
      <c r="H502" s="1">
        <v>0.0</v>
      </c>
      <c r="I502" s="1" t="s">
        <v>2686</v>
      </c>
      <c r="J502" s="1">
        <v>0.0</v>
      </c>
      <c r="K502" s="1">
        <v>1.0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 t="s">
        <v>1418</v>
      </c>
      <c r="S502" s="1">
        <v>0.0757568082699051</v>
      </c>
    </row>
    <row r="503" ht="15.75" customHeight="1">
      <c r="A503" s="1" t="s">
        <v>2687</v>
      </c>
      <c r="B503" s="1" t="s">
        <v>2688</v>
      </c>
      <c r="C503" s="1" t="s">
        <v>2689</v>
      </c>
      <c r="D503" s="1" t="s">
        <v>156</v>
      </c>
      <c r="E503" s="1">
        <v>2023.0</v>
      </c>
      <c r="F503" s="1">
        <v>0.0</v>
      </c>
      <c r="G503" s="1">
        <v>0.0</v>
      </c>
      <c r="H503" s="1">
        <v>0.0</v>
      </c>
      <c r="I503" s="1" t="s">
        <v>2690</v>
      </c>
      <c r="J503" s="1">
        <v>0.0</v>
      </c>
      <c r="K503" s="1">
        <v>0.9375</v>
      </c>
      <c r="L503" s="1">
        <v>0.0625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 t="s">
        <v>1418</v>
      </c>
      <c r="S503" s="1">
        <v>0.0491427971831805</v>
      </c>
    </row>
    <row r="504" ht="15.75" customHeight="1">
      <c r="A504" s="1" t="s">
        <v>2691</v>
      </c>
      <c r="B504" s="1" t="s">
        <v>2692</v>
      </c>
      <c r="C504" s="1" t="s">
        <v>2693</v>
      </c>
      <c r="D504" s="1" t="s">
        <v>189</v>
      </c>
      <c r="E504" s="1">
        <v>2024.0</v>
      </c>
      <c r="F504" s="1">
        <v>0.0</v>
      </c>
      <c r="G504" s="1">
        <v>0.0</v>
      </c>
      <c r="H504" s="1">
        <v>0.0</v>
      </c>
      <c r="I504" s="1" t="s">
        <v>2694</v>
      </c>
      <c r="J504" s="1">
        <v>0.0</v>
      </c>
      <c r="K504" s="1">
        <v>1.0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 t="s">
        <v>1418</v>
      </c>
      <c r="S504" s="1">
        <v>0.0740305729685472</v>
      </c>
    </row>
    <row r="505" ht="15.75" customHeight="1">
      <c r="A505" s="1" t="s">
        <v>2695</v>
      </c>
      <c r="B505" s="1" t="s">
        <v>2696</v>
      </c>
      <c r="C505" s="1" t="s">
        <v>2697</v>
      </c>
      <c r="D505" s="1" t="s">
        <v>304</v>
      </c>
      <c r="E505" s="1">
        <v>2021.0</v>
      </c>
      <c r="F505" s="1">
        <v>0.0</v>
      </c>
      <c r="G505" s="1">
        <v>0.0</v>
      </c>
      <c r="H505" s="1">
        <v>0.0</v>
      </c>
      <c r="I505" s="1" t="s">
        <v>2698</v>
      </c>
      <c r="J505" s="1">
        <v>0.0</v>
      </c>
      <c r="K505" s="1">
        <v>0.810810810810811</v>
      </c>
      <c r="L505" s="1">
        <v>0.189189189189189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 t="s">
        <v>1418</v>
      </c>
      <c r="S505" s="1">
        <v>0.0560013759653</v>
      </c>
    </row>
    <row r="506" ht="15.75" customHeight="1">
      <c r="A506" s="1" t="s">
        <v>2699</v>
      </c>
      <c r="B506" s="1" t="s">
        <v>2700</v>
      </c>
      <c r="C506" s="1" t="s">
        <v>2701</v>
      </c>
      <c r="D506" s="1" t="s">
        <v>207</v>
      </c>
      <c r="E506" s="1">
        <v>2024.0</v>
      </c>
      <c r="F506" s="1">
        <v>0.0</v>
      </c>
      <c r="G506" s="1">
        <v>0.0</v>
      </c>
      <c r="H506" s="1">
        <v>0.0</v>
      </c>
      <c r="I506" s="1" t="s">
        <v>2702</v>
      </c>
      <c r="J506" s="1">
        <v>0.0</v>
      </c>
      <c r="K506" s="1">
        <v>1.0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 t="s">
        <v>1418</v>
      </c>
      <c r="S506" s="1">
        <v>0.0760999678318736</v>
      </c>
    </row>
    <row r="507" ht="15.75" customHeight="1">
      <c r="A507" s="1" t="s">
        <v>2703</v>
      </c>
      <c r="B507" s="1" t="s">
        <v>2704</v>
      </c>
      <c r="C507" s="1" t="s">
        <v>2705</v>
      </c>
      <c r="D507" s="1" t="s">
        <v>91</v>
      </c>
      <c r="E507" s="1">
        <v>2024.0</v>
      </c>
      <c r="F507" s="1">
        <v>0.0</v>
      </c>
      <c r="G507" s="1">
        <v>0.0</v>
      </c>
      <c r="H507" s="1">
        <v>0.0</v>
      </c>
      <c r="I507" s="1" t="s">
        <v>2706</v>
      </c>
      <c r="J507" s="1">
        <v>0.0</v>
      </c>
      <c r="K507" s="1">
        <v>1.0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 t="s">
        <v>1418</v>
      </c>
      <c r="S507" s="1">
        <v>0.00367082071927508</v>
      </c>
    </row>
    <row r="508" ht="15.75" customHeight="1">
      <c r="A508" s="1" t="s">
        <v>2707</v>
      </c>
      <c r="B508" s="1" t="s">
        <v>2708</v>
      </c>
      <c r="C508" s="1" t="s">
        <v>2709</v>
      </c>
      <c r="D508" s="1" t="s">
        <v>106</v>
      </c>
      <c r="E508" s="1">
        <v>2024.0</v>
      </c>
      <c r="F508" s="1">
        <v>0.0</v>
      </c>
      <c r="G508" s="1">
        <v>0.0</v>
      </c>
      <c r="H508" s="1">
        <v>0.0</v>
      </c>
      <c r="I508" s="1" t="s">
        <v>2710</v>
      </c>
      <c r="J508" s="1">
        <v>0.116690608868613</v>
      </c>
      <c r="K508" s="1">
        <v>0.883309391131387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 t="s">
        <v>1418</v>
      </c>
      <c r="S508" s="1">
        <v>0.107941210304471</v>
      </c>
    </row>
    <row r="509" ht="15.75" customHeight="1">
      <c r="A509" s="1" t="s">
        <v>2711</v>
      </c>
      <c r="B509" s="1" t="s">
        <v>2712</v>
      </c>
      <c r="C509" s="1" t="s">
        <v>2713</v>
      </c>
      <c r="D509" s="1" t="s">
        <v>99</v>
      </c>
      <c r="E509" s="1">
        <v>2024.0</v>
      </c>
      <c r="F509" s="1">
        <v>0.0</v>
      </c>
      <c r="G509" s="1">
        <v>0.0</v>
      </c>
      <c r="H509" s="1">
        <v>0.0</v>
      </c>
      <c r="I509" s="1" t="s">
        <v>2714</v>
      </c>
      <c r="J509" s="1">
        <v>0.0</v>
      </c>
      <c r="K509" s="1">
        <v>1.0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 t="s">
        <v>1418</v>
      </c>
      <c r="S509" s="1">
        <v>0.0705448218785551</v>
      </c>
    </row>
    <row r="510" ht="15.75" customHeight="1">
      <c r="A510" s="1" t="s">
        <v>2715</v>
      </c>
      <c r="B510" s="1" t="s">
        <v>2716</v>
      </c>
      <c r="C510" s="1" t="s">
        <v>2717</v>
      </c>
      <c r="D510" s="1" t="s">
        <v>172</v>
      </c>
      <c r="E510" s="1">
        <v>2024.0</v>
      </c>
      <c r="F510" s="1">
        <v>0.0</v>
      </c>
      <c r="G510" s="1">
        <v>0.0</v>
      </c>
      <c r="H510" s="1">
        <v>0.0</v>
      </c>
      <c r="I510" s="1" t="s">
        <v>2718</v>
      </c>
      <c r="J510" s="1">
        <v>0.0</v>
      </c>
      <c r="K510" s="1">
        <v>1.0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 t="s">
        <v>1418</v>
      </c>
      <c r="S510" s="1">
        <v>0.0651515662089768</v>
      </c>
    </row>
    <row r="511" ht="15.75" customHeight="1">
      <c r="A511" s="1" t="s">
        <v>2719</v>
      </c>
      <c r="B511" s="1" t="s">
        <v>2720</v>
      </c>
      <c r="C511" s="1" t="s">
        <v>2721</v>
      </c>
      <c r="D511" s="1" t="s">
        <v>65</v>
      </c>
      <c r="E511" s="1">
        <v>2023.0</v>
      </c>
      <c r="F511" s="1">
        <v>0.0</v>
      </c>
      <c r="G511" s="1">
        <v>0.0</v>
      </c>
      <c r="H511" s="1">
        <v>0.0</v>
      </c>
      <c r="I511" s="1" t="s">
        <v>2722</v>
      </c>
      <c r="J511" s="1">
        <v>0.0</v>
      </c>
      <c r="K511" s="1">
        <v>0.625</v>
      </c>
      <c r="L511" s="1">
        <v>0.0</v>
      </c>
      <c r="M511" s="1">
        <v>0.0</v>
      </c>
      <c r="N511" s="1">
        <v>0.375</v>
      </c>
      <c r="O511" s="1">
        <v>0.0</v>
      </c>
      <c r="P511" s="1">
        <v>0.0</v>
      </c>
      <c r="Q511" s="1">
        <v>0.0</v>
      </c>
      <c r="R511" s="1" t="s">
        <v>1418</v>
      </c>
      <c r="S511" s="1">
        <v>0.0146155188153826</v>
      </c>
    </row>
    <row r="512" ht="15.75" customHeight="1">
      <c r="A512" s="1" t="s">
        <v>2723</v>
      </c>
      <c r="B512" s="1" t="s">
        <v>2724</v>
      </c>
      <c r="C512" s="1" t="s">
        <v>2725</v>
      </c>
      <c r="D512" s="1" t="s">
        <v>155</v>
      </c>
      <c r="E512" s="1">
        <v>2018.0</v>
      </c>
      <c r="F512" s="1">
        <v>2.0</v>
      </c>
      <c r="G512" s="1">
        <v>0.285714285714286</v>
      </c>
      <c r="H512" s="1">
        <v>0.156462585034014</v>
      </c>
      <c r="I512" s="1" t="s">
        <v>2726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1.0</v>
      </c>
      <c r="Q512" s="1">
        <v>0.0</v>
      </c>
      <c r="R512" s="1" t="s">
        <v>1620</v>
      </c>
      <c r="S512" s="1">
        <v>0.00406504065041241</v>
      </c>
    </row>
    <row r="513" ht="15.75" customHeight="1">
      <c r="A513" s="1" t="s">
        <v>2727</v>
      </c>
      <c r="B513" s="1" t="s">
        <v>2728</v>
      </c>
      <c r="C513" s="1" t="s">
        <v>2729</v>
      </c>
      <c r="D513" s="1" t="s">
        <v>146</v>
      </c>
      <c r="E513" s="1">
        <v>2012.0</v>
      </c>
      <c r="F513" s="1">
        <v>1.0</v>
      </c>
      <c r="G513" s="1">
        <v>0.0769230769230769</v>
      </c>
      <c r="H513" s="1">
        <v>0.619047619047619</v>
      </c>
      <c r="I513" s="1" t="s">
        <v>2730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1.0</v>
      </c>
      <c r="Q513" s="1">
        <v>0.0</v>
      </c>
      <c r="R513" s="1" t="s">
        <v>1620</v>
      </c>
      <c r="S513" s="1">
        <v>0.00406504065041241</v>
      </c>
    </row>
    <row r="514" ht="15.75" customHeight="1">
      <c r="A514" s="1" t="s">
        <v>2731</v>
      </c>
      <c r="B514" s="1" t="s">
        <v>2732</v>
      </c>
      <c r="C514" s="1" t="s">
        <v>2733</v>
      </c>
      <c r="D514" s="1" t="s">
        <v>201</v>
      </c>
      <c r="E514" s="1">
        <v>2023.0</v>
      </c>
      <c r="F514" s="1">
        <v>5.0</v>
      </c>
      <c r="G514" s="1">
        <v>2.5</v>
      </c>
      <c r="H514" s="1">
        <v>1.61087866108787</v>
      </c>
      <c r="I514" s="1" t="s">
        <v>2734</v>
      </c>
      <c r="J514" s="1">
        <v>0.00625978090766823</v>
      </c>
      <c r="K514" s="1">
        <v>0.0</v>
      </c>
      <c r="L514" s="1">
        <v>0.0</v>
      </c>
      <c r="M514" s="1">
        <v>0.993740219092332</v>
      </c>
      <c r="N514" s="1">
        <v>0.0</v>
      </c>
      <c r="O514" s="1">
        <v>0.0</v>
      </c>
      <c r="P514" s="1">
        <v>0.0</v>
      </c>
      <c r="Q514" s="1">
        <v>0.0</v>
      </c>
      <c r="R514" s="1" t="s">
        <v>1608</v>
      </c>
      <c r="S514" s="1">
        <v>0.0852511708435982</v>
      </c>
    </row>
    <row r="515" ht="15.75" customHeight="1">
      <c r="A515" s="1" t="s">
        <v>2735</v>
      </c>
      <c r="B515" s="1" t="s">
        <v>2736</v>
      </c>
      <c r="C515" s="1" t="s">
        <v>2737</v>
      </c>
      <c r="D515" s="1" t="s">
        <v>62</v>
      </c>
      <c r="E515" s="1">
        <v>2022.0</v>
      </c>
      <c r="F515" s="1">
        <v>2.0</v>
      </c>
      <c r="G515" s="1">
        <v>0.666666666666667</v>
      </c>
      <c r="H515" s="1">
        <v>0.354929577464789</v>
      </c>
      <c r="I515" s="1" t="s">
        <v>2738</v>
      </c>
      <c r="J515" s="1">
        <v>0.0</v>
      </c>
      <c r="K515" s="1">
        <v>0.0</v>
      </c>
      <c r="L515" s="1">
        <v>0.0</v>
      </c>
      <c r="M515" s="1">
        <v>1.0</v>
      </c>
      <c r="N515" s="1">
        <v>0.0</v>
      </c>
      <c r="O515" s="1">
        <v>0.0</v>
      </c>
      <c r="P515" s="1">
        <v>0.0</v>
      </c>
      <c r="Q515" s="1">
        <v>0.0</v>
      </c>
      <c r="R515" s="1" t="s">
        <v>1608</v>
      </c>
      <c r="S515" s="1">
        <v>0.00709238529919013</v>
      </c>
    </row>
    <row r="516" ht="15.75" customHeight="1">
      <c r="A516" s="1" t="s">
        <v>2739</v>
      </c>
      <c r="B516" s="1" t="s">
        <v>2740</v>
      </c>
      <c r="C516" s="1" t="s">
        <v>2741</v>
      </c>
      <c r="D516" s="1" t="s">
        <v>83</v>
      </c>
      <c r="E516" s="1">
        <v>2023.0</v>
      </c>
      <c r="F516" s="1">
        <v>2.0</v>
      </c>
      <c r="G516" s="1">
        <v>1.0</v>
      </c>
      <c r="H516" s="1">
        <v>0.644351464435146</v>
      </c>
      <c r="I516" s="1" t="s">
        <v>2742</v>
      </c>
      <c r="J516" s="1">
        <v>0.0</v>
      </c>
      <c r="K516" s="1">
        <v>0.0204081632653061</v>
      </c>
      <c r="L516" s="1">
        <v>0.0</v>
      </c>
      <c r="M516" s="1">
        <v>0.979591836734694</v>
      </c>
      <c r="N516" s="1">
        <v>0.0</v>
      </c>
      <c r="O516" s="1">
        <v>0.0</v>
      </c>
      <c r="P516" s="1">
        <v>0.0</v>
      </c>
      <c r="Q516" s="1">
        <v>0.0</v>
      </c>
      <c r="R516" s="1" t="s">
        <v>1608</v>
      </c>
      <c r="S516" s="1">
        <v>0.0649647696802885</v>
      </c>
    </row>
    <row r="517" ht="15.75" customHeight="1">
      <c r="A517" s="1" t="s">
        <v>2743</v>
      </c>
      <c r="B517" s="1" t="s">
        <v>2744</v>
      </c>
      <c r="C517" s="1" t="s">
        <v>2745</v>
      </c>
      <c r="D517" s="1" t="s">
        <v>100</v>
      </c>
      <c r="E517" s="1">
        <v>2023.0</v>
      </c>
      <c r="F517" s="1">
        <v>1.0</v>
      </c>
      <c r="G517" s="1">
        <v>0.5</v>
      </c>
      <c r="H517" s="1">
        <v>0.322175732217573</v>
      </c>
      <c r="I517" s="1" t="s">
        <v>2746</v>
      </c>
      <c r="J517" s="1">
        <v>0.0196078431372549</v>
      </c>
      <c r="K517" s="1">
        <v>0.0</v>
      </c>
      <c r="L517" s="1">
        <v>0.0</v>
      </c>
      <c r="M517" s="1">
        <v>0.980392156862745</v>
      </c>
      <c r="N517" s="1">
        <v>0.0</v>
      </c>
      <c r="O517" s="1">
        <v>0.0</v>
      </c>
      <c r="P517" s="1">
        <v>0.0</v>
      </c>
      <c r="Q517" s="1">
        <v>0.0</v>
      </c>
      <c r="R517" s="1" t="s">
        <v>1608</v>
      </c>
      <c r="S517" s="1">
        <v>0.0620095599314133</v>
      </c>
    </row>
    <row r="518" ht="15.75" customHeight="1">
      <c r="A518" s="1" t="s">
        <v>2747</v>
      </c>
      <c r="B518" s="1" t="s">
        <v>2748</v>
      </c>
      <c r="C518" s="1" t="s">
        <v>2749</v>
      </c>
      <c r="D518" s="1" t="s">
        <v>84</v>
      </c>
      <c r="E518" s="1">
        <v>2024.0</v>
      </c>
      <c r="F518" s="1">
        <v>0.0</v>
      </c>
      <c r="G518" s="1">
        <v>0.0</v>
      </c>
      <c r="H518" s="1">
        <v>0.0</v>
      </c>
      <c r="I518" s="1" t="s">
        <v>2750</v>
      </c>
      <c r="J518" s="1">
        <v>0.00625978090766823</v>
      </c>
      <c r="K518" s="1">
        <v>0.0</v>
      </c>
      <c r="L518" s="1">
        <v>0.0</v>
      </c>
      <c r="M518" s="1">
        <v>0.993740219092332</v>
      </c>
      <c r="N518" s="1">
        <v>0.0</v>
      </c>
      <c r="O518" s="1">
        <v>0.0</v>
      </c>
      <c r="P518" s="1">
        <v>0.0</v>
      </c>
      <c r="Q518" s="1">
        <v>0.0</v>
      </c>
      <c r="R518" s="1" t="s">
        <v>1608</v>
      </c>
      <c r="S518" s="1">
        <v>0.0852511708435982</v>
      </c>
    </row>
    <row r="519" ht="15.75" customHeight="1">
      <c r="A519" s="1" t="s">
        <v>2751</v>
      </c>
      <c r="B519" s="1" t="s">
        <v>2752</v>
      </c>
      <c r="C519" s="1" t="s">
        <v>2753</v>
      </c>
      <c r="D519" s="1" t="s">
        <v>322</v>
      </c>
      <c r="E519" s="1">
        <v>2014.0</v>
      </c>
      <c r="F519" s="1">
        <v>376.0</v>
      </c>
      <c r="G519" s="1">
        <v>34.1818181818182</v>
      </c>
      <c r="H519" s="1">
        <v>7.44554455445545</v>
      </c>
      <c r="I519" s="1" t="s">
        <v>2754</v>
      </c>
      <c r="J519" s="1">
        <v>0.0</v>
      </c>
      <c r="K519" s="1">
        <v>0.0588235294117647</v>
      </c>
      <c r="L519" s="1">
        <v>0.941176470588235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 t="s">
        <v>1501</v>
      </c>
      <c r="S519" s="1">
        <v>0.0702714504830498</v>
      </c>
    </row>
    <row r="520" ht="15.75" customHeight="1">
      <c r="A520" s="1" t="s">
        <v>2755</v>
      </c>
      <c r="B520" s="1" t="s">
        <v>2756</v>
      </c>
      <c r="C520" s="1" t="s">
        <v>2757</v>
      </c>
      <c r="D520" s="1" t="s">
        <v>62</v>
      </c>
      <c r="E520" s="1">
        <v>2018.0</v>
      </c>
      <c r="F520" s="1">
        <v>59.0</v>
      </c>
      <c r="G520" s="1">
        <v>8.42857142857143</v>
      </c>
      <c r="H520" s="1">
        <v>4.6156462585034</v>
      </c>
      <c r="I520" s="1" t="s">
        <v>2758</v>
      </c>
      <c r="J520" s="1">
        <v>0.0</v>
      </c>
      <c r="K520" s="1">
        <v>0.289855072463768</v>
      </c>
      <c r="L520" s="1">
        <v>0.710144927536232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 t="s">
        <v>1501</v>
      </c>
      <c r="S520" s="1">
        <v>0.0530798515494542</v>
      </c>
    </row>
    <row r="521" ht="15.75" customHeight="1">
      <c r="A521" s="1" t="s">
        <v>2759</v>
      </c>
      <c r="B521" s="1" t="s">
        <v>409</v>
      </c>
      <c r="C521" s="1" t="s">
        <v>2760</v>
      </c>
      <c r="D521" s="1" t="s">
        <v>62</v>
      </c>
      <c r="E521" s="1">
        <v>2018.0</v>
      </c>
      <c r="F521" s="1">
        <v>46.0</v>
      </c>
      <c r="G521" s="1">
        <v>6.57142857142857</v>
      </c>
      <c r="H521" s="1">
        <v>3.59863945578231</v>
      </c>
      <c r="I521" s="1" t="s">
        <v>2761</v>
      </c>
      <c r="J521" s="1">
        <v>0.0</v>
      </c>
      <c r="K521" s="1">
        <v>0.0</v>
      </c>
      <c r="L521" s="1">
        <v>1.0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 t="s">
        <v>1501</v>
      </c>
      <c r="S521" s="1">
        <v>0.0522577071697089</v>
      </c>
    </row>
    <row r="522" ht="15.75" customHeight="1">
      <c r="A522" s="1" t="s">
        <v>2762</v>
      </c>
      <c r="B522" s="1" t="s">
        <v>2763</v>
      </c>
      <c r="C522" s="1" t="s">
        <v>2764</v>
      </c>
      <c r="D522" s="1" t="s">
        <v>62</v>
      </c>
      <c r="E522" s="1">
        <v>2018.0</v>
      </c>
      <c r="F522" s="1">
        <v>41.0</v>
      </c>
      <c r="G522" s="1">
        <v>5.85714285714286</v>
      </c>
      <c r="H522" s="1">
        <v>3.20748299319728</v>
      </c>
      <c r="I522" s="1" t="s">
        <v>2765</v>
      </c>
      <c r="J522" s="1">
        <v>0.0</v>
      </c>
      <c r="K522" s="1">
        <v>0.0</v>
      </c>
      <c r="L522" s="1">
        <v>1.0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 t="s">
        <v>1501</v>
      </c>
      <c r="S522" s="1">
        <v>0.0450432872278077</v>
      </c>
    </row>
    <row r="523" ht="15.75" customHeight="1">
      <c r="A523" s="1" t="s">
        <v>2766</v>
      </c>
      <c r="B523" s="1" t="s">
        <v>2767</v>
      </c>
      <c r="C523" s="1" t="s">
        <v>2768</v>
      </c>
      <c r="D523" s="1" t="s">
        <v>150</v>
      </c>
      <c r="E523" s="1">
        <v>2015.0</v>
      </c>
      <c r="F523" s="1">
        <v>40.0</v>
      </c>
      <c r="G523" s="1">
        <v>4.0</v>
      </c>
      <c r="H523" s="1">
        <v>1.82741116751269</v>
      </c>
      <c r="I523" s="1" t="s">
        <v>2769</v>
      </c>
      <c r="J523" s="1">
        <v>0.0</v>
      </c>
      <c r="K523" s="1">
        <v>0.0</v>
      </c>
      <c r="L523" s="1">
        <v>1.0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 t="s">
        <v>1501</v>
      </c>
      <c r="S523" s="1">
        <v>0.00609755917670607</v>
      </c>
    </row>
    <row r="524" ht="15.75" customHeight="1">
      <c r="A524" s="1" t="s">
        <v>2770</v>
      </c>
      <c r="B524" s="1" t="s">
        <v>2771</v>
      </c>
      <c r="C524" s="1" t="s">
        <v>2772</v>
      </c>
      <c r="D524" s="1" t="s">
        <v>62</v>
      </c>
      <c r="E524" s="1">
        <v>2022.0</v>
      </c>
      <c r="F524" s="1">
        <v>39.0</v>
      </c>
      <c r="G524" s="1">
        <v>13.0</v>
      </c>
      <c r="H524" s="1">
        <v>6.92112676056338</v>
      </c>
      <c r="I524" s="1" t="s">
        <v>2773</v>
      </c>
      <c r="J524" s="1">
        <v>0.0</v>
      </c>
      <c r="K524" s="1">
        <v>0.0820793433652531</v>
      </c>
      <c r="L524" s="1">
        <v>0.917920656634747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 t="s">
        <v>1501</v>
      </c>
      <c r="S524" s="1">
        <v>0.0623676652584575</v>
      </c>
    </row>
    <row r="525" ht="15.75" customHeight="1">
      <c r="A525" s="1" t="s">
        <v>2774</v>
      </c>
      <c r="B525" s="1" t="s">
        <v>2775</v>
      </c>
      <c r="C525" s="1" t="s">
        <v>2776</v>
      </c>
      <c r="D525" s="1" t="s">
        <v>140</v>
      </c>
      <c r="E525" s="1">
        <v>2020.0</v>
      </c>
      <c r="F525" s="1">
        <v>36.0</v>
      </c>
      <c r="G525" s="1">
        <v>7.2</v>
      </c>
      <c r="H525" s="1">
        <v>1.69411764705882</v>
      </c>
      <c r="I525" s="1" t="s">
        <v>2777</v>
      </c>
      <c r="J525" s="1">
        <v>0.0</v>
      </c>
      <c r="K525" s="1">
        <v>0.04</v>
      </c>
      <c r="L525" s="1">
        <v>0.96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 t="s">
        <v>1501</v>
      </c>
      <c r="S525" s="1">
        <v>0.0679037067701069</v>
      </c>
    </row>
    <row r="526" ht="15.75" customHeight="1">
      <c r="A526" s="1" t="s">
        <v>2778</v>
      </c>
      <c r="B526" s="1" t="s">
        <v>2779</v>
      </c>
      <c r="C526" s="1" t="s">
        <v>2780</v>
      </c>
      <c r="D526" s="1" t="s">
        <v>62</v>
      </c>
      <c r="E526" s="1">
        <v>2020.0</v>
      </c>
      <c r="F526" s="1">
        <v>35.0</v>
      </c>
      <c r="G526" s="1">
        <v>7.0</v>
      </c>
      <c r="H526" s="1">
        <v>1.64705882352941</v>
      </c>
      <c r="I526" s="1" t="s">
        <v>2781</v>
      </c>
      <c r="J526" s="1">
        <v>0.0</v>
      </c>
      <c r="K526" s="1">
        <v>0.0</v>
      </c>
      <c r="L526" s="1">
        <v>1.0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 t="s">
        <v>1501</v>
      </c>
      <c r="S526" s="1">
        <v>0.00349318342330282</v>
      </c>
    </row>
    <row r="527" ht="15.75" customHeight="1">
      <c r="A527" s="1" t="s">
        <v>2782</v>
      </c>
      <c r="B527" s="1" t="s">
        <v>2783</v>
      </c>
      <c r="C527" s="1" t="s">
        <v>2784</v>
      </c>
      <c r="D527" s="1" t="s">
        <v>242</v>
      </c>
      <c r="E527" s="1">
        <v>2016.0</v>
      </c>
      <c r="F527" s="1">
        <v>28.0</v>
      </c>
      <c r="G527" s="1">
        <v>3.11111111111111</v>
      </c>
      <c r="H527" s="1">
        <v>3.14606741573034</v>
      </c>
      <c r="I527" s="1" t="s">
        <v>2785</v>
      </c>
      <c r="J527" s="1">
        <v>0.0</v>
      </c>
      <c r="K527" s="1">
        <v>0.0</v>
      </c>
      <c r="L527" s="1">
        <v>1.0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 t="s">
        <v>1501</v>
      </c>
      <c r="S527" s="1">
        <v>0.0527996423300341</v>
      </c>
    </row>
    <row r="528" ht="15.75" customHeight="1">
      <c r="A528" s="1" t="s">
        <v>2786</v>
      </c>
      <c r="B528" s="1" t="s">
        <v>2787</v>
      </c>
      <c r="C528" s="1" t="s">
        <v>2788</v>
      </c>
      <c r="D528" s="1" t="s">
        <v>62</v>
      </c>
      <c r="E528" s="1">
        <v>2018.0</v>
      </c>
      <c r="F528" s="1">
        <v>26.0</v>
      </c>
      <c r="G528" s="1">
        <v>3.71428571428571</v>
      </c>
      <c r="H528" s="1">
        <v>2.03401360544218</v>
      </c>
      <c r="I528" s="1" t="s">
        <v>2789</v>
      </c>
      <c r="J528" s="1">
        <v>0.0</v>
      </c>
      <c r="K528" s="1">
        <v>0.267857142857143</v>
      </c>
      <c r="L528" s="1">
        <v>0.732142857142857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 t="s">
        <v>1501</v>
      </c>
      <c r="S528" s="1">
        <v>0.0589120739142142</v>
      </c>
    </row>
    <row r="529" ht="15.75" customHeight="1">
      <c r="A529" s="1" t="s">
        <v>2790</v>
      </c>
      <c r="B529" s="1" t="s">
        <v>2791</v>
      </c>
      <c r="C529" s="1" t="s">
        <v>2792</v>
      </c>
      <c r="D529" s="1" t="s">
        <v>80</v>
      </c>
      <c r="E529" s="1">
        <v>2023.0</v>
      </c>
      <c r="F529" s="1">
        <v>19.0</v>
      </c>
      <c r="G529" s="1">
        <v>9.5</v>
      </c>
      <c r="H529" s="1">
        <v>6.12133891213389</v>
      </c>
      <c r="I529" s="1" t="s">
        <v>2793</v>
      </c>
      <c r="J529" s="1">
        <v>0.0</v>
      </c>
      <c r="K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 t="s">
        <v>1501</v>
      </c>
      <c r="S529" s="1">
        <v>0.0492108776667305</v>
      </c>
    </row>
    <row r="530" ht="15.75" customHeight="1">
      <c r="A530" s="1" t="s">
        <v>2794</v>
      </c>
      <c r="B530" s="1" t="s">
        <v>2795</v>
      </c>
      <c r="C530" s="1" t="s">
        <v>2796</v>
      </c>
      <c r="D530" s="1" t="s">
        <v>90</v>
      </c>
      <c r="E530" s="1">
        <v>2020.0</v>
      </c>
      <c r="F530" s="1">
        <v>18.0</v>
      </c>
      <c r="G530" s="1">
        <v>3.6</v>
      </c>
      <c r="H530" s="1">
        <v>0.847058823529412</v>
      </c>
      <c r="I530" s="1" t="s">
        <v>2797</v>
      </c>
      <c r="J530" s="1">
        <v>0.0</v>
      </c>
      <c r="K530" s="1">
        <v>0.0</v>
      </c>
      <c r="L530" s="1">
        <v>0.507462686567164</v>
      </c>
      <c r="M530" s="1">
        <v>0.0</v>
      </c>
      <c r="N530" s="1">
        <v>0.492537313432836</v>
      </c>
      <c r="O530" s="1">
        <v>0.0</v>
      </c>
      <c r="P530" s="1">
        <v>0.0</v>
      </c>
      <c r="Q530" s="1">
        <v>0.0</v>
      </c>
      <c r="R530" s="1" t="s">
        <v>1501</v>
      </c>
      <c r="S530" s="1">
        <v>0.0718560945008288</v>
      </c>
    </row>
    <row r="531" ht="15.75" customHeight="1">
      <c r="A531" s="1" t="s">
        <v>2798</v>
      </c>
      <c r="B531" s="1" t="s">
        <v>2799</v>
      </c>
      <c r="C531" s="1" t="s">
        <v>2800</v>
      </c>
      <c r="D531" s="1" t="s">
        <v>199</v>
      </c>
      <c r="E531" s="1">
        <v>2009.0</v>
      </c>
      <c r="F531" s="1">
        <v>16.0</v>
      </c>
      <c r="G531" s="1">
        <v>1.0</v>
      </c>
      <c r="H531" s="1">
        <v>2.08695652173913</v>
      </c>
      <c r="I531" s="1" t="s">
        <v>2801</v>
      </c>
      <c r="J531" s="1">
        <v>0.025974025974026</v>
      </c>
      <c r="K531" s="1">
        <v>0.0</v>
      </c>
      <c r="L531" s="1">
        <v>0.974025974025974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 t="s">
        <v>1501</v>
      </c>
      <c r="S531" s="1">
        <v>0.0534778635099062</v>
      </c>
    </row>
    <row r="532" ht="15.75" customHeight="1">
      <c r="A532" s="1" t="s">
        <v>2802</v>
      </c>
      <c r="B532" s="1" t="s">
        <v>2803</v>
      </c>
      <c r="C532" s="1" t="s">
        <v>2804</v>
      </c>
      <c r="D532" s="1" t="s">
        <v>62</v>
      </c>
      <c r="E532" s="1">
        <v>2020.0</v>
      </c>
      <c r="F532" s="1">
        <v>15.0</v>
      </c>
      <c r="G532" s="1">
        <v>3.0</v>
      </c>
      <c r="H532" s="1">
        <v>0.705882352941177</v>
      </c>
      <c r="I532" s="1" t="s">
        <v>2805</v>
      </c>
      <c r="J532" s="1">
        <v>0.0</v>
      </c>
      <c r="K532" s="1">
        <v>0.0</v>
      </c>
      <c r="L532" s="1">
        <v>1.0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 t="s">
        <v>1501</v>
      </c>
      <c r="S532" s="1">
        <v>0.0450432872278077</v>
      </c>
    </row>
    <row r="533" ht="15.75" customHeight="1">
      <c r="A533" s="1" t="s">
        <v>2806</v>
      </c>
      <c r="B533" s="1" t="s">
        <v>2807</v>
      </c>
      <c r="C533" s="1" t="s">
        <v>2808</v>
      </c>
      <c r="D533" s="1" t="s">
        <v>196</v>
      </c>
      <c r="E533" s="1">
        <v>2021.0</v>
      </c>
      <c r="F533" s="1">
        <v>15.0</v>
      </c>
      <c r="G533" s="1">
        <v>3.75</v>
      </c>
      <c r="H533" s="1">
        <v>1.23417721518987</v>
      </c>
      <c r="I533" s="1" t="s">
        <v>2809</v>
      </c>
      <c r="J533" s="1">
        <v>0.0</v>
      </c>
      <c r="K533" s="1">
        <v>0.0</v>
      </c>
      <c r="L533" s="1">
        <v>1.0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 t="s">
        <v>1501</v>
      </c>
      <c r="S533" s="1">
        <v>0.0942578539323864</v>
      </c>
    </row>
    <row r="534" ht="15.75" customHeight="1">
      <c r="A534" s="1" t="s">
        <v>2810</v>
      </c>
      <c r="B534" s="1" t="s">
        <v>2811</v>
      </c>
      <c r="C534" s="1" t="s">
        <v>2812</v>
      </c>
      <c r="D534" s="1" t="s">
        <v>62</v>
      </c>
      <c r="E534" s="1">
        <v>2015.0</v>
      </c>
      <c r="F534" s="1">
        <v>14.0</v>
      </c>
      <c r="G534" s="1">
        <v>1.4</v>
      </c>
      <c r="H534" s="1">
        <v>0.639593908629442</v>
      </c>
      <c r="I534" s="1" t="s">
        <v>2813</v>
      </c>
      <c r="J534" s="1">
        <v>0.0</v>
      </c>
      <c r="K534" s="1">
        <v>0.0</v>
      </c>
      <c r="L534" s="1">
        <v>1.0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 t="s">
        <v>1501</v>
      </c>
      <c r="S534" s="1">
        <v>0.0450432872278077</v>
      </c>
    </row>
    <row r="535" ht="15.75" customHeight="1">
      <c r="A535" s="1" t="s">
        <v>2814</v>
      </c>
      <c r="B535" s="1" t="s">
        <v>2815</v>
      </c>
      <c r="C535" s="1" t="s">
        <v>2816</v>
      </c>
      <c r="D535" s="1" t="s">
        <v>280</v>
      </c>
      <c r="E535" s="1">
        <v>2021.0</v>
      </c>
      <c r="F535" s="1">
        <v>14.0</v>
      </c>
      <c r="G535" s="1">
        <v>3.5</v>
      </c>
      <c r="H535" s="1">
        <v>1.15189873417722</v>
      </c>
      <c r="I535" s="1" t="s">
        <v>2817</v>
      </c>
      <c r="J535" s="1">
        <v>0.0</v>
      </c>
      <c r="K535" s="1">
        <v>0.0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 t="s">
        <v>1501</v>
      </c>
      <c r="S535" s="1">
        <v>0.0450432872278077</v>
      </c>
    </row>
    <row r="536" ht="15.75" customHeight="1">
      <c r="A536" s="1" t="s">
        <v>2818</v>
      </c>
      <c r="B536" s="1" t="s">
        <v>2819</v>
      </c>
      <c r="C536" s="1" t="s">
        <v>2820</v>
      </c>
      <c r="D536" s="1" t="s">
        <v>223</v>
      </c>
      <c r="E536" s="1">
        <v>2016.0</v>
      </c>
      <c r="F536" s="1">
        <v>14.0</v>
      </c>
      <c r="G536" s="1">
        <v>1.55555555555556</v>
      </c>
      <c r="H536" s="1">
        <v>1.57303370786517</v>
      </c>
      <c r="I536" s="1" t="s">
        <v>2821</v>
      </c>
      <c r="J536" s="1">
        <v>0.0</v>
      </c>
      <c r="K536" s="1">
        <v>0.0</v>
      </c>
      <c r="L536" s="1">
        <v>1.0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 t="s">
        <v>1501</v>
      </c>
      <c r="S536" s="1">
        <v>0.0547021713715418</v>
      </c>
    </row>
    <row r="537" ht="15.75" customHeight="1">
      <c r="A537" s="1" t="s">
        <v>2822</v>
      </c>
      <c r="B537" s="1" t="s">
        <v>2823</v>
      </c>
      <c r="C537" s="1" t="s">
        <v>2824</v>
      </c>
      <c r="D537" s="1" t="s">
        <v>62</v>
      </c>
      <c r="E537" s="1">
        <v>2018.0</v>
      </c>
      <c r="F537" s="1">
        <v>13.0</v>
      </c>
      <c r="G537" s="1">
        <v>1.85714285714286</v>
      </c>
      <c r="H537" s="1">
        <v>1.01700680272109</v>
      </c>
      <c r="I537" s="1" t="s">
        <v>2825</v>
      </c>
      <c r="J537" s="1">
        <v>0.0</v>
      </c>
      <c r="K537" s="1">
        <v>0.0</v>
      </c>
      <c r="L537" s="1">
        <v>0.71830985915493</v>
      </c>
      <c r="M537" s="1">
        <v>0.0</v>
      </c>
      <c r="N537" s="1">
        <v>0.0</v>
      </c>
      <c r="O537" s="1">
        <v>0.0</v>
      </c>
      <c r="P537" s="1">
        <v>0.0</v>
      </c>
      <c r="Q537" s="1">
        <v>0.28169014084507</v>
      </c>
      <c r="R537" s="1" t="s">
        <v>1501</v>
      </c>
      <c r="S537" s="1">
        <v>0.0562663190756376</v>
      </c>
    </row>
    <row r="538" ht="15.75" customHeight="1">
      <c r="A538" s="1" t="s">
        <v>2826</v>
      </c>
      <c r="B538" s="1" t="s">
        <v>2827</v>
      </c>
      <c r="C538" s="1" t="s">
        <v>2828</v>
      </c>
      <c r="D538" s="1" t="s">
        <v>190</v>
      </c>
      <c r="E538" s="1">
        <v>2015.0</v>
      </c>
      <c r="F538" s="1">
        <v>13.0</v>
      </c>
      <c r="G538" s="1">
        <v>1.3</v>
      </c>
      <c r="H538" s="1">
        <v>0.593908629441624</v>
      </c>
      <c r="I538" s="1" t="s">
        <v>2829</v>
      </c>
      <c r="J538" s="1">
        <v>0.0</v>
      </c>
      <c r="K538" s="1">
        <v>0.0</v>
      </c>
      <c r="L538" s="1">
        <v>1.0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 t="s">
        <v>1501</v>
      </c>
      <c r="S538" s="1">
        <v>0.0463318742033145</v>
      </c>
    </row>
    <row r="539" ht="15.75" customHeight="1">
      <c r="A539" s="1" t="s">
        <v>2830</v>
      </c>
      <c r="B539" s="1" t="s">
        <v>1391</v>
      </c>
      <c r="C539" s="1" t="s">
        <v>2831</v>
      </c>
      <c r="D539" s="1" t="s">
        <v>230</v>
      </c>
      <c r="E539" s="1">
        <v>2011.0</v>
      </c>
      <c r="F539" s="1">
        <v>12.0</v>
      </c>
      <c r="G539" s="1">
        <v>0.857142857142857</v>
      </c>
      <c r="H539" s="1">
        <v>0.625</v>
      </c>
      <c r="I539" s="1" t="s">
        <v>2832</v>
      </c>
      <c r="J539" s="1">
        <v>0.0</v>
      </c>
      <c r="K539" s="1">
        <v>0.0</v>
      </c>
      <c r="L539" s="1">
        <v>1.0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 t="s">
        <v>1501</v>
      </c>
      <c r="S539" s="1">
        <v>0.010330483207806</v>
      </c>
    </row>
    <row r="540" ht="15.75" customHeight="1">
      <c r="A540" s="1" t="s">
        <v>2833</v>
      </c>
      <c r="B540" s="1" t="s">
        <v>1088</v>
      </c>
      <c r="C540" s="1" t="s">
        <v>2834</v>
      </c>
      <c r="D540" s="1" t="s">
        <v>255</v>
      </c>
      <c r="E540" s="1">
        <v>2022.0</v>
      </c>
      <c r="F540" s="1">
        <v>10.0</v>
      </c>
      <c r="G540" s="1">
        <v>3.33333333333333</v>
      </c>
      <c r="H540" s="1">
        <v>1.77464788732394</v>
      </c>
      <c r="I540" s="1" t="s">
        <v>2835</v>
      </c>
      <c r="J540" s="1">
        <v>0.0</v>
      </c>
      <c r="K540" s="1">
        <v>0.384615384615385</v>
      </c>
      <c r="L540" s="1">
        <v>0.615384615384615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 t="s">
        <v>1501</v>
      </c>
      <c r="S540" s="1">
        <v>0.108763320916315</v>
      </c>
    </row>
    <row r="541" ht="15.75" customHeight="1">
      <c r="A541" s="1" t="s">
        <v>2836</v>
      </c>
      <c r="B541" s="1" t="s">
        <v>2837</v>
      </c>
      <c r="C541" s="1" t="s">
        <v>2838</v>
      </c>
      <c r="D541" s="1" t="s">
        <v>133</v>
      </c>
      <c r="E541" s="1">
        <v>2023.0</v>
      </c>
      <c r="F541" s="1">
        <v>8.0</v>
      </c>
      <c r="G541" s="1">
        <v>4.0</v>
      </c>
      <c r="H541" s="1">
        <v>2.57740585774059</v>
      </c>
      <c r="I541" s="1" t="s">
        <v>2839</v>
      </c>
      <c r="J541" s="1">
        <v>0.0</v>
      </c>
      <c r="K541" s="1">
        <v>0.0</v>
      </c>
      <c r="L541" s="1">
        <v>1.0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 t="s">
        <v>1501</v>
      </c>
      <c r="S541" s="1">
        <v>0.0280291168988655</v>
      </c>
    </row>
    <row r="542" ht="15.75" customHeight="1">
      <c r="A542" s="1" t="s">
        <v>2840</v>
      </c>
      <c r="B542" s="1" t="s">
        <v>2841</v>
      </c>
      <c r="C542" s="1" t="s">
        <v>2842</v>
      </c>
      <c r="D542" s="1" t="s">
        <v>71</v>
      </c>
      <c r="E542" s="1">
        <v>2022.0</v>
      </c>
      <c r="F542" s="1">
        <v>7.0</v>
      </c>
      <c r="G542" s="1">
        <v>2.33333333333333</v>
      </c>
      <c r="H542" s="1">
        <v>1.24225352112676</v>
      </c>
      <c r="I542" s="1" t="s">
        <v>2843</v>
      </c>
      <c r="J542" s="1">
        <v>0.0</v>
      </c>
      <c r="K542" s="1">
        <v>0.0</v>
      </c>
      <c r="L542" s="1">
        <v>1.0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 t="s">
        <v>1501</v>
      </c>
      <c r="S542" s="1">
        <v>0.00574016424890213</v>
      </c>
    </row>
    <row r="543" ht="15.75" customHeight="1">
      <c r="A543" s="1" t="s">
        <v>2844</v>
      </c>
      <c r="B543" s="1" t="s">
        <v>2845</v>
      </c>
      <c r="C543" s="1" t="s">
        <v>2846</v>
      </c>
      <c r="D543" s="1" t="s">
        <v>90</v>
      </c>
      <c r="E543" s="1">
        <v>2019.0</v>
      </c>
      <c r="F543" s="1">
        <v>6.0</v>
      </c>
      <c r="G543" s="1">
        <v>1.0</v>
      </c>
      <c r="H543" s="1">
        <v>0.673267326732673</v>
      </c>
      <c r="I543" s="1" t="s">
        <v>2847</v>
      </c>
      <c r="J543" s="1">
        <v>0.0</v>
      </c>
      <c r="K543" s="1">
        <v>0.140664961636829</v>
      </c>
      <c r="L543" s="1">
        <v>0.859335038363171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 t="s">
        <v>1501</v>
      </c>
      <c r="S543" s="1">
        <v>0.0767195908414481</v>
      </c>
    </row>
    <row r="544" ht="15.75" customHeight="1">
      <c r="A544" s="1" t="s">
        <v>2848</v>
      </c>
      <c r="B544" s="1" t="s">
        <v>982</v>
      </c>
      <c r="C544" s="1" t="s">
        <v>2849</v>
      </c>
      <c r="D544" s="1" t="s">
        <v>339</v>
      </c>
      <c r="E544" s="1">
        <v>2018.0</v>
      </c>
      <c r="F544" s="1">
        <v>6.0</v>
      </c>
      <c r="G544" s="1">
        <v>0.857142857142857</v>
      </c>
      <c r="H544" s="1">
        <v>0.469387755102041</v>
      </c>
      <c r="I544" s="1" t="s">
        <v>2850</v>
      </c>
      <c r="J544" s="1">
        <v>0.0</v>
      </c>
      <c r="K544" s="1">
        <v>0.0</v>
      </c>
      <c r="L544" s="1">
        <v>1.0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 t="s">
        <v>1501</v>
      </c>
      <c r="S544" s="1">
        <v>0.0565785569323938</v>
      </c>
    </row>
    <row r="545" ht="15.75" customHeight="1">
      <c r="A545" s="1" t="s">
        <v>2851</v>
      </c>
      <c r="B545" s="1" t="s">
        <v>2852</v>
      </c>
      <c r="C545" s="1" t="s">
        <v>2853</v>
      </c>
      <c r="D545" s="1" t="s">
        <v>83</v>
      </c>
      <c r="E545" s="1">
        <v>2021.0</v>
      </c>
      <c r="F545" s="1">
        <v>6.0</v>
      </c>
      <c r="G545" s="1">
        <v>1.5</v>
      </c>
      <c r="H545" s="1">
        <v>0.493670886075949</v>
      </c>
      <c r="I545" s="1" t="s">
        <v>2854</v>
      </c>
      <c r="J545" s="1">
        <v>0.0</v>
      </c>
      <c r="K545" s="1">
        <v>0.0204081632653061</v>
      </c>
      <c r="L545" s="1">
        <v>0.979591836734694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 t="s">
        <v>1501</v>
      </c>
      <c r="S545" s="1">
        <v>0.0650086206640143</v>
      </c>
    </row>
    <row r="546" ht="15.75" customHeight="1">
      <c r="A546" s="1" t="s">
        <v>2855</v>
      </c>
      <c r="B546" s="1" t="s">
        <v>2856</v>
      </c>
      <c r="C546" s="1" t="s">
        <v>2857</v>
      </c>
      <c r="D546" s="1" t="s">
        <v>216</v>
      </c>
      <c r="E546" s="1">
        <v>2020.0</v>
      </c>
      <c r="F546" s="1">
        <v>6.0</v>
      </c>
      <c r="G546" s="1">
        <v>1.2</v>
      </c>
      <c r="H546" s="1">
        <v>0.282352941176471</v>
      </c>
      <c r="I546" s="1" t="s">
        <v>2858</v>
      </c>
      <c r="J546" s="1">
        <v>0.0</v>
      </c>
      <c r="K546" s="1">
        <v>0.0609756097560976</v>
      </c>
      <c r="L546" s="1">
        <v>0.939024390243902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 t="s">
        <v>1501</v>
      </c>
      <c r="S546" s="1">
        <v>0.0689700968800791</v>
      </c>
    </row>
    <row r="547" ht="15.75" customHeight="1">
      <c r="A547" s="1" t="s">
        <v>2859</v>
      </c>
      <c r="B547" s="1" t="s">
        <v>460</v>
      </c>
      <c r="C547" s="1" t="s">
        <v>2860</v>
      </c>
      <c r="D547" s="1" t="s">
        <v>62</v>
      </c>
      <c r="E547" s="1">
        <v>2021.0</v>
      </c>
      <c r="F547" s="1">
        <v>5.0</v>
      </c>
      <c r="G547" s="1">
        <v>1.25</v>
      </c>
      <c r="H547" s="1">
        <v>0.411392405063291</v>
      </c>
      <c r="I547" s="1" t="s">
        <v>2861</v>
      </c>
      <c r="J547" s="1">
        <v>0.0</v>
      </c>
      <c r="K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 t="s">
        <v>1501</v>
      </c>
      <c r="S547" s="1">
        <v>0.0532265023251163</v>
      </c>
    </row>
    <row r="548" ht="15.75" customHeight="1">
      <c r="A548" s="1" t="s">
        <v>2862</v>
      </c>
      <c r="B548" s="1" t="s">
        <v>2863</v>
      </c>
      <c r="C548" s="1" t="s">
        <v>2864</v>
      </c>
      <c r="D548" s="1" t="s">
        <v>62</v>
      </c>
      <c r="E548" s="1">
        <v>2023.0</v>
      </c>
      <c r="F548" s="1">
        <v>5.0</v>
      </c>
      <c r="G548" s="1">
        <v>2.5</v>
      </c>
      <c r="H548" s="1">
        <v>1.61087866108787</v>
      </c>
      <c r="I548" s="1" t="s">
        <v>2865</v>
      </c>
      <c r="J548" s="1">
        <v>0.0</v>
      </c>
      <c r="K548" s="1">
        <v>0.0</v>
      </c>
      <c r="L548" s="1">
        <v>1.0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 t="s">
        <v>1501</v>
      </c>
      <c r="S548" s="1">
        <v>0.0544281293542601</v>
      </c>
    </row>
    <row r="549" ht="15.75" customHeight="1">
      <c r="A549" s="1" t="s">
        <v>2866</v>
      </c>
      <c r="B549" s="1" t="s">
        <v>2867</v>
      </c>
      <c r="C549" s="1" t="s">
        <v>2868</v>
      </c>
      <c r="D549" s="1" t="s">
        <v>248</v>
      </c>
      <c r="E549" s="1">
        <v>2024.0</v>
      </c>
      <c r="F549" s="1">
        <v>5.0</v>
      </c>
      <c r="G549" s="1">
        <v>5.0</v>
      </c>
      <c r="H549" s="1">
        <v>5.42857142857143</v>
      </c>
      <c r="I549" s="1" t="s">
        <v>2869</v>
      </c>
      <c r="J549" s="1">
        <v>0.278846153846154</v>
      </c>
      <c r="K549" s="1">
        <v>0.0</v>
      </c>
      <c r="L549" s="1">
        <v>0.721153846153846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 t="s">
        <v>1501</v>
      </c>
      <c r="S549" s="1">
        <v>0.0693256363184205</v>
      </c>
    </row>
    <row r="550" ht="15.75" customHeight="1">
      <c r="A550" s="1" t="s">
        <v>2870</v>
      </c>
      <c r="B550" s="1" t="s">
        <v>2871</v>
      </c>
      <c r="C550" s="1" t="s">
        <v>2872</v>
      </c>
      <c r="D550" s="1" t="s">
        <v>69</v>
      </c>
      <c r="E550" s="1">
        <v>2024.0</v>
      </c>
      <c r="F550" s="1">
        <v>5.0</v>
      </c>
      <c r="G550" s="1">
        <v>5.0</v>
      </c>
      <c r="H550" s="1">
        <v>5.42857142857143</v>
      </c>
      <c r="I550" s="1" t="s">
        <v>2873</v>
      </c>
      <c r="J550" s="1">
        <v>0.0</v>
      </c>
      <c r="K550" s="1">
        <v>0.0</v>
      </c>
      <c r="L550" s="1">
        <v>1.0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 t="s">
        <v>1501</v>
      </c>
      <c r="S550" s="1">
        <v>0.00135938813067359</v>
      </c>
    </row>
    <row r="551" ht="15.75" customHeight="1">
      <c r="A551" s="1" t="s">
        <v>2874</v>
      </c>
      <c r="B551" s="1" t="s">
        <v>2875</v>
      </c>
      <c r="C551" s="1" t="s">
        <v>2876</v>
      </c>
      <c r="D551" s="1" t="s">
        <v>80</v>
      </c>
      <c r="E551" s="1">
        <v>2023.0</v>
      </c>
      <c r="F551" s="1">
        <v>5.0</v>
      </c>
      <c r="G551" s="1">
        <v>2.5</v>
      </c>
      <c r="H551" s="1">
        <v>1.61087866108787</v>
      </c>
      <c r="I551" s="1" t="s">
        <v>2877</v>
      </c>
      <c r="J551" s="1">
        <v>0.0</v>
      </c>
      <c r="K551" s="1">
        <v>0.0</v>
      </c>
      <c r="L551" s="1">
        <v>1.0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 t="s">
        <v>1501</v>
      </c>
      <c r="S551" s="1">
        <v>0.00246112965145533</v>
      </c>
    </row>
    <row r="552" ht="15.75" customHeight="1">
      <c r="A552" s="1" t="s">
        <v>2878</v>
      </c>
      <c r="B552" s="1" t="s">
        <v>2879</v>
      </c>
      <c r="C552" s="1" t="s">
        <v>2880</v>
      </c>
      <c r="D552" s="1" t="s">
        <v>267</v>
      </c>
      <c r="E552" s="1">
        <v>2020.0</v>
      </c>
      <c r="F552" s="1">
        <v>5.0</v>
      </c>
      <c r="G552" s="1">
        <v>1.0</v>
      </c>
      <c r="H552" s="1">
        <v>0.235294117647059</v>
      </c>
      <c r="I552" s="1" t="s">
        <v>2881</v>
      </c>
      <c r="J552" s="1">
        <v>0.0</v>
      </c>
      <c r="K552" s="1">
        <v>0.0</v>
      </c>
      <c r="L552" s="1">
        <v>1.0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 t="s">
        <v>1501</v>
      </c>
      <c r="S552" s="1">
        <v>0.0450432872278077</v>
      </c>
    </row>
    <row r="553" ht="15.75" customHeight="1">
      <c r="A553" s="1" t="s">
        <v>2882</v>
      </c>
      <c r="B553" s="1" t="s">
        <v>2883</v>
      </c>
      <c r="C553" s="1" t="s">
        <v>2884</v>
      </c>
      <c r="D553" s="1" t="s">
        <v>260</v>
      </c>
      <c r="E553" s="1">
        <v>2022.0</v>
      </c>
      <c r="F553" s="1">
        <v>4.0</v>
      </c>
      <c r="G553" s="1">
        <v>1.33333333333333</v>
      </c>
      <c r="H553" s="1">
        <v>0.709859154929577</v>
      </c>
      <c r="I553" s="1" t="s">
        <v>2885</v>
      </c>
      <c r="J553" s="1">
        <v>0.0506329113924051</v>
      </c>
      <c r="K553" s="1">
        <v>0.0</v>
      </c>
      <c r="L553" s="1">
        <v>0.949367088607595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 t="s">
        <v>1501</v>
      </c>
      <c r="S553" s="1">
        <v>0.0546509244146407</v>
      </c>
    </row>
    <row r="554" ht="15.75" customHeight="1">
      <c r="A554" s="1" t="s">
        <v>2886</v>
      </c>
      <c r="B554" s="1" t="s">
        <v>2887</v>
      </c>
      <c r="C554" s="1" t="s">
        <v>2888</v>
      </c>
      <c r="D554" s="1" t="s">
        <v>209</v>
      </c>
      <c r="E554" s="1">
        <v>2019.0</v>
      </c>
      <c r="F554" s="1">
        <v>4.0</v>
      </c>
      <c r="G554" s="1">
        <v>0.666666666666667</v>
      </c>
      <c r="H554" s="1">
        <v>0.448844884488449</v>
      </c>
      <c r="I554" s="1" t="s">
        <v>2889</v>
      </c>
      <c r="J554" s="1">
        <v>0.0</v>
      </c>
      <c r="K554" s="1">
        <v>0.0204081632653061</v>
      </c>
      <c r="L554" s="1">
        <v>0.979591836734694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 t="s">
        <v>1501</v>
      </c>
      <c r="S554" s="1">
        <v>0.0655148630169536</v>
      </c>
    </row>
    <row r="555" ht="15.75" customHeight="1">
      <c r="A555" s="1" t="s">
        <v>2890</v>
      </c>
      <c r="B555" s="1" t="s">
        <v>2891</v>
      </c>
      <c r="C555" s="1" t="s">
        <v>2892</v>
      </c>
      <c r="D555" s="1" t="s">
        <v>141</v>
      </c>
      <c r="E555" s="1">
        <v>2022.0</v>
      </c>
      <c r="F555" s="1">
        <v>4.0</v>
      </c>
      <c r="G555" s="1">
        <v>1.33333333333333</v>
      </c>
      <c r="H555" s="1">
        <v>0.709859154929577</v>
      </c>
      <c r="I555" s="1" t="s">
        <v>2893</v>
      </c>
      <c r="J555" s="1">
        <v>0.0</v>
      </c>
      <c r="K555" s="1">
        <v>0.0204081632653061</v>
      </c>
      <c r="L555" s="1">
        <v>0.979591836734694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 t="s">
        <v>1501</v>
      </c>
      <c r="S555" s="1">
        <v>0.0653788296140278</v>
      </c>
    </row>
    <row r="556" ht="15.75" customHeight="1">
      <c r="A556" s="1" t="s">
        <v>2894</v>
      </c>
      <c r="B556" s="1" t="s">
        <v>2895</v>
      </c>
      <c r="C556" s="1" t="s">
        <v>2896</v>
      </c>
      <c r="D556" s="1" t="s">
        <v>120</v>
      </c>
      <c r="E556" s="1">
        <v>2021.0</v>
      </c>
      <c r="F556" s="1">
        <v>4.0</v>
      </c>
      <c r="G556" s="1">
        <v>1.0</v>
      </c>
      <c r="H556" s="1">
        <v>0.329113924050633</v>
      </c>
      <c r="I556" s="1" t="s">
        <v>2897</v>
      </c>
      <c r="J556" s="1">
        <v>0.0</v>
      </c>
      <c r="K556" s="1">
        <v>0.0</v>
      </c>
      <c r="L556" s="1">
        <v>0.894736842105263</v>
      </c>
      <c r="M556" s="1">
        <v>0.0</v>
      </c>
      <c r="N556" s="1">
        <v>0.105263157894737</v>
      </c>
      <c r="O556" s="1">
        <v>0.0</v>
      </c>
      <c r="P556" s="1">
        <v>0.0</v>
      </c>
      <c r="Q556" s="1">
        <v>0.0</v>
      </c>
      <c r="R556" s="1" t="s">
        <v>1501</v>
      </c>
      <c r="S556" s="1">
        <v>0.016447975210905</v>
      </c>
    </row>
    <row r="557" ht="15.75" customHeight="1">
      <c r="A557" s="1" t="s">
        <v>2898</v>
      </c>
      <c r="B557" s="1" t="s">
        <v>892</v>
      </c>
      <c r="C557" s="1" t="s">
        <v>2899</v>
      </c>
      <c r="D557" s="1" t="s">
        <v>215</v>
      </c>
      <c r="E557" s="1">
        <v>2019.0</v>
      </c>
      <c r="F557" s="1">
        <v>4.0</v>
      </c>
      <c r="G557" s="1">
        <v>0.666666666666667</v>
      </c>
      <c r="H557" s="1">
        <v>0.448844884488449</v>
      </c>
      <c r="I557" s="1" t="s">
        <v>2900</v>
      </c>
      <c r="J557" s="1">
        <v>0.0</v>
      </c>
      <c r="K557" s="1">
        <v>0.0</v>
      </c>
      <c r="L557" s="1">
        <v>1.0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 t="s">
        <v>1501</v>
      </c>
      <c r="S557" s="1">
        <v>0.0450432872278077</v>
      </c>
    </row>
    <row r="558" ht="15.75" customHeight="1">
      <c r="A558" s="1" t="s">
        <v>2901</v>
      </c>
      <c r="B558" s="1" t="s">
        <v>2902</v>
      </c>
      <c r="C558" s="1" t="s">
        <v>2903</v>
      </c>
      <c r="D558" s="1" t="s">
        <v>171</v>
      </c>
      <c r="E558" s="1">
        <v>2019.0</v>
      </c>
      <c r="F558" s="1">
        <v>3.0</v>
      </c>
      <c r="G558" s="1">
        <v>0.5</v>
      </c>
      <c r="H558" s="1">
        <v>0.336633663366337</v>
      </c>
      <c r="I558" s="1" t="s">
        <v>2904</v>
      </c>
      <c r="J558" s="1">
        <v>0.0186915887850467</v>
      </c>
      <c r="K558" s="1">
        <v>0.280373831775701</v>
      </c>
      <c r="L558" s="1">
        <v>0.700934579439252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 t="s">
        <v>1501</v>
      </c>
      <c r="S558" s="1">
        <v>0.060906721512059</v>
      </c>
    </row>
    <row r="559" ht="15.75" customHeight="1">
      <c r="A559" s="1" t="s">
        <v>2905</v>
      </c>
      <c r="B559" s="1" t="s">
        <v>2906</v>
      </c>
      <c r="C559" s="1" t="s">
        <v>2907</v>
      </c>
      <c r="D559" s="1" t="s">
        <v>65</v>
      </c>
      <c r="E559" s="1">
        <v>2022.0</v>
      </c>
      <c r="F559" s="1">
        <v>3.0</v>
      </c>
      <c r="G559" s="1">
        <v>1.0</v>
      </c>
      <c r="H559" s="1">
        <v>0.532394366197183</v>
      </c>
      <c r="I559" s="1" t="s">
        <v>2908</v>
      </c>
      <c r="J559" s="1">
        <v>0.0</v>
      </c>
      <c r="K559" s="1">
        <v>0.0</v>
      </c>
      <c r="L559" s="1">
        <v>1.0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 t="s">
        <v>1501</v>
      </c>
      <c r="S559" s="1">
        <v>0.0475545772230886</v>
      </c>
    </row>
    <row r="560" ht="15.75" customHeight="1">
      <c r="A560" s="1" t="s">
        <v>2909</v>
      </c>
      <c r="B560" s="1" t="s">
        <v>2910</v>
      </c>
      <c r="C560" s="1" t="s">
        <v>2911</v>
      </c>
      <c r="D560" s="1" t="s">
        <v>227</v>
      </c>
      <c r="E560" s="1">
        <v>2022.0</v>
      </c>
      <c r="F560" s="1">
        <v>3.0</v>
      </c>
      <c r="G560" s="1">
        <v>1.0</v>
      </c>
      <c r="H560" s="1">
        <v>0.532394366197183</v>
      </c>
      <c r="I560" s="1" t="s">
        <v>2912</v>
      </c>
      <c r="J560" s="1">
        <v>0.025974025974026</v>
      </c>
      <c r="K560" s="1">
        <v>0.0</v>
      </c>
      <c r="L560" s="1">
        <v>0.974025974025974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 t="s">
        <v>1501</v>
      </c>
      <c r="S560" s="1">
        <v>0.0538962555506528</v>
      </c>
    </row>
    <row r="561" ht="15.75" customHeight="1">
      <c r="A561" s="1" t="s">
        <v>2913</v>
      </c>
      <c r="B561" s="1" t="s">
        <v>2914</v>
      </c>
      <c r="C561" s="1" t="s">
        <v>2915</v>
      </c>
      <c r="D561" s="1" t="s">
        <v>220</v>
      </c>
      <c r="E561" s="1">
        <v>2019.0</v>
      </c>
      <c r="F561" s="1">
        <v>3.0</v>
      </c>
      <c r="G561" s="1">
        <v>0.5</v>
      </c>
      <c r="H561" s="1">
        <v>0.336633663366337</v>
      </c>
      <c r="I561" s="1" t="s">
        <v>2916</v>
      </c>
      <c r="J561" s="1">
        <v>0.0</v>
      </c>
      <c r="K561" s="1">
        <v>0.0</v>
      </c>
      <c r="L561" s="1">
        <v>0.923076923076923</v>
      </c>
      <c r="M561" s="1">
        <v>0.0</v>
      </c>
      <c r="N561" s="1">
        <v>0.0769230769230769</v>
      </c>
      <c r="O561" s="1">
        <v>0.0</v>
      </c>
      <c r="P561" s="1">
        <v>0.0</v>
      </c>
      <c r="Q561" s="1">
        <v>0.0</v>
      </c>
      <c r="R561" s="1" t="s">
        <v>1501</v>
      </c>
      <c r="S561" s="1">
        <v>0.027320492650827</v>
      </c>
    </row>
    <row r="562" ht="15.75" customHeight="1">
      <c r="A562" s="1" t="s">
        <v>2917</v>
      </c>
      <c r="B562" s="1" t="s">
        <v>731</v>
      </c>
      <c r="C562" s="1" t="s">
        <v>2918</v>
      </c>
      <c r="D562" s="1" t="s">
        <v>162</v>
      </c>
      <c r="E562" s="1">
        <v>2022.0</v>
      </c>
      <c r="F562" s="1">
        <v>2.0</v>
      </c>
      <c r="G562" s="1">
        <v>0.666666666666667</v>
      </c>
      <c r="H562" s="1">
        <v>0.354929577464789</v>
      </c>
      <c r="I562" s="1" t="s">
        <v>2919</v>
      </c>
      <c r="J562" s="1">
        <v>0.0</v>
      </c>
      <c r="K562" s="1">
        <v>0.0</v>
      </c>
      <c r="L562" s="1">
        <v>1.0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 t="s">
        <v>1501</v>
      </c>
      <c r="S562" s="1">
        <v>0.0490863435561957</v>
      </c>
    </row>
    <row r="563" ht="15.75" customHeight="1">
      <c r="A563" s="1" t="s">
        <v>2920</v>
      </c>
      <c r="B563" s="1" t="s">
        <v>414</v>
      </c>
      <c r="C563" s="1" t="s">
        <v>2921</v>
      </c>
      <c r="D563" s="1" t="s">
        <v>89</v>
      </c>
      <c r="E563" s="1">
        <v>2013.0</v>
      </c>
      <c r="F563" s="1">
        <v>2.0</v>
      </c>
      <c r="G563" s="1">
        <v>0.166666666666667</v>
      </c>
      <c r="H563" s="1">
        <v>0.625</v>
      </c>
      <c r="I563" s="1" t="s">
        <v>2922</v>
      </c>
      <c r="J563" s="1">
        <v>0.0</v>
      </c>
      <c r="K563" s="1">
        <v>0.0</v>
      </c>
      <c r="L563" s="1">
        <v>1.0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 t="s">
        <v>1501</v>
      </c>
      <c r="S563" s="1">
        <v>0.0510588977167892</v>
      </c>
    </row>
    <row r="564" ht="15.75" customHeight="1">
      <c r="A564" s="1" t="s">
        <v>2923</v>
      </c>
      <c r="B564" s="1" t="s">
        <v>2924</v>
      </c>
      <c r="C564" s="1" t="s">
        <v>2925</v>
      </c>
      <c r="D564" s="1" t="s">
        <v>64</v>
      </c>
      <c r="E564" s="1">
        <v>2022.0</v>
      </c>
      <c r="F564" s="1">
        <v>2.0</v>
      </c>
      <c r="G564" s="1">
        <v>0.666666666666667</v>
      </c>
      <c r="H564" s="1">
        <v>0.354929577464789</v>
      </c>
      <c r="I564" s="1" t="s">
        <v>2926</v>
      </c>
      <c r="J564" s="1">
        <v>0.0</v>
      </c>
      <c r="K564" s="1">
        <v>0.375</v>
      </c>
      <c r="L564" s="1">
        <v>0.625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 t="s">
        <v>1501</v>
      </c>
      <c r="S564" s="1">
        <v>0.00964585737242075</v>
      </c>
    </row>
    <row r="565" ht="15.75" customHeight="1">
      <c r="A565" s="1" t="s">
        <v>2927</v>
      </c>
      <c r="B565" s="1" t="s">
        <v>2928</v>
      </c>
      <c r="C565" s="1" t="s">
        <v>2929</v>
      </c>
      <c r="D565" s="1" t="s">
        <v>62</v>
      </c>
      <c r="E565" s="1">
        <v>2020.0</v>
      </c>
      <c r="F565" s="1">
        <v>2.0</v>
      </c>
      <c r="G565" s="1">
        <v>0.4</v>
      </c>
      <c r="H565" s="1">
        <v>0.0941176470588235</v>
      </c>
      <c r="I565" s="1" t="s">
        <v>2930</v>
      </c>
      <c r="J565" s="1">
        <v>0.0</v>
      </c>
      <c r="K565" s="1">
        <v>0.0</v>
      </c>
      <c r="L565" s="1">
        <v>1.0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 t="s">
        <v>1501</v>
      </c>
      <c r="S565" s="1">
        <v>0.0450432872278077</v>
      </c>
    </row>
    <row r="566" ht="15.75" customHeight="1">
      <c r="A566" s="1" t="s">
        <v>2931</v>
      </c>
      <c r="B566" s="1" t="s">
        <v>2932</v>
      </c>
      <c r="C566" s="1" t="s">
        <v>2933</v>
      </c>
      <c r="D566" s="1" t="s">
        <v>62</v>
      </c>
      <c r="E566" s="1">
        <v>2023.0</v>
      </c>
      <c r="F566" s="1">
        <v>2.0</v>
      </c>
      <c r="G566" s="1">
        <v>1.0</v>
      </c>
      <c r="H566" s="1">
        <v>0.644351464435146</v>
      </c>
      <c r="I566" s="1" t="s">
        <v>2934</v>
      </c>
      <c r="J566" s="1">
        <v>0.0</v>
      </c>
      <c r="K566" s="1">
        <v>0.3</v>
      </c>
      <c r="L566" s="1">
        <v>0.7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 t="s">
        <v>1501</v>
      </c>
      <c r="S566" s="1">
        <v>0.0170556479141984</v>
      </c>
    </row>
    <row r="567" ht="15.75" customHeight="1">
      <c r="A567" s="1" t="s">
        <v>2935</v>
      </c>
      <c r="B567" s="1" t="s">
        <v>2936</v>
      </c>
      <c r="C567" s="1" t="s">
        <v>2937</v>
      </c>
      <c r="D567" s="1" t="s">
        <v>69</v>
      </c>
      <c r="E567" s="1">
        <v>2024.0</v>
      </c>
      <c r="F567" s="1">
        <v>2.0</v>
      </c>
      <c r="G567" s="1">
        <v>2.0</v>
      </c>
      <c r="H567" s="1">
        <v>2.17142857142857</v>
      </c>
      <c r="I567" s="1" t="s">
        <v>2938</v>
      </c>
      <c r="J567" s="1">
        <v>0.0</v>
      </c>
      <c r="K567" s="1">
        <v>0.0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 t="s">
        <v>1501</v>
      </c>
      <c r="S567" s="1">
        <v>0.00940476625463525</v>
      </c>
    </row>
    <row r="568" ht="15.75" customHeight="1">
      <c r="A568" s="1" t="s">
        <v>2939</v>
      </c>
      <c r="B568" s="1" t="s">
        <v>377</v>
      </c>
      <c r="C568" s="1" t="s">
        <v>2940</v>
      </c>
      <c r="D568" s="1" t="s">
        <v>107</v>
      </c>
      <c r="E568" s="1">
        <v>2019.0</v>
      </c>
      <c r="F568" s="1">
        <v>2.0</v>
      </c>
      <c r="G568" s="1">
        <v>0.333333333333333</v>
      </c>
      <c r="H568" s="1">
        <v>0.224422442244224</v>
      </c>
      <c r="I568" s="1" t="s">
        <v>2941</v>
      </c>
      <c r="J568" s="1">
        <v>0.0</v>
      </c>
      <c r="K568" s="1">
        <v>0.0</v>
      </c>
      <c r="L568" s="1">
        <v>1.0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 t="s">
        <v>1501</v>
      </c>
      <c r="S568" s="1">
        <v>0.0511311739472977</v>
      </c>
    </row>
    <row r="569" ht="15.75" customHeight="1">
      <c r="A569" s="1" t="s">
        <v>2942</v>
      </c>
      <c r="B569" s="1" t="s">
        <v>2943</v>
      </c>
      <c r="C569" s="1" t="s">
        <v>2944</v>
      </c>
      <c r="D569" s="1" t="s">
        <v>77</v>
      </c>
      <c r="E569" s="1">
        <v>2023.0</v>
      </c>
      <c r="F569" s="1">
        <v>2.0</v>
      </c>
      <c r="G569" s="1">
        <v>1.0</v>
      </c>
      <c r="H569" s="1">
        <v>0.644351464435146</v>
      </c>
      <c r="I569" s="1" t="s">
        <v>2945</v>
      </c>
      <c r="J569" s="1">
        <v>0.0</v>
      </c>
      <c r="K569" s="1">
        <v>0.0</v>
      </c>
      <c r="L569" s="1">
        <v>1.0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 t="s">
        <v>1501</v>
      </c>
      <c r="S569" s="1">
        <v>0.00216412886871142</v>
      </c>
    </row>
    <row r="570" ht="15.75" customHeight="1">
      <c r="A570" s="1" t="s">
        <v>2946</v>
      </c>
      <c r="B570" s="1" t="s">
        <v>2947</v>
      </c>
      <c r="C570" s="1" t="s">
        <v>2948</v>
      </c>
      <c r="D570" s="1" t="s">
        <v>91</v>
      </c>
      <c r="E570" s="1">
        <v>2022.0</v>
      </c>
      <c r="F570" s="1">
        <v>2.0</v>
      </c>
      <c r="G570" s="1">
        <v>0.666666666666667</v>
      </c>
      <c r="H570" s="1">
        <v>0.354929577464789</v>
      </c>
      <c r="I570" s="1" t="s">
        <v>2949</v>
      </c>
      <c r="J570" s="1">
        <v>0.0</v>
      </c>
      <c r="K570" s="1">
        <v>0.0</v>
      </c>
      <c r="L570" s="1">
        <v>1.0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 t="s">
        <v>1501</v>
      </c>
      <c r="S570" s="1">
        <v>0.0598103816762296</v>
      </c>
    </row>
    <row r="571" ht="15.75" customHeight="1">
      <c r="A571" s="1" t="s">
        <v>2950</v>
      </c>
      <c r="B571" s="1" t="s">
        <v>414</v>
      </c>
      <c r="C571" s="1" t="s">
        <v>2951</v>
      </c>
      <c r="D571" s="1" t="s">
        <v>89</v>
      </c>
      <c r="E571" s="1">
        <v>2013.0</v>
      </c>
      <c r="F571" s="1">
        <v>2.0</v>
      </c>
      <c r="G571" s="1">
        <v>0.166666666666667</v>
      </c>
      <c r="H571" s="1">
        <v>0.625</v>
      </c>
      <c r="I571" s="1" t="s">
        <v>2952</v>
      </c>
      <c r="J571" s="1">
        <v>0.0</v>
      </c>
      <c r="K571" s="1">
        <v>0.0</v>
      </c>
      <c r="L571" s="1">
        <v>1.0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 t="s">
        <v>1501</v>
      </c>
      <c r="S571" s="1">
        <v>0.0510588977167892</v>
      </c>
    </row>
    <row r="572" ht="15.75" customHeight="1">
      <c r="A572" s="1" t="s">
        <v>2953</v>
      </c>
      <c r="B572" s="1" t="s">
        <v>2954</v>
      </c>
      <c r="C572" s="1" t="s">
        <v>2955</v>
      </c>
      <c r="D572" s="1" t="s">
        <v>86</v>
      </c>
      <c r="E572" s="1">
        <v>2021.0</v>
      </c>
      <c r="F572" s="1">
        <v>1.0</v>
      </c>
      <c r="G572" s="1">
        <v>0.25</v>
      </c>
      <c r="H572" s="1">
        <v>0.0822784810126582</v>
      </c>
      <c r="I572" s="1" t="s">
        <v>2956</v>
      </c>
      <c r="J572" s="1">
        <v>0.0</v>
      </c>
      <c r="K572" s="1">
        <v>0.13674788662357</v>
      </c>
      <c r="L572" s="1">
        <v>0.86325211337643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 t="s">
        <v>1501</v>
      </c>
      <c r="S572" s="1">
        <v>0.122397595811865</v>
      </c>
    </row>
    <row r="573" ht="15.75" customHeight="1">
      <c r="A573" s="1" t="s">
        <v>2957</v>
      </c>
      <c r="B573" s="1" t="s">
        <v>979</v>
      </c>
      <c r="C573" s="1" t="s">
        <v>2958</v>
      </c>
      <c r="D573" s="1" t="s">
        <v>67</v>
      </c>
      <c r="E573" s="1">
        <v>2023.0</v>
      </c>
      <c r="F573" s="1">
        <v>1.0</v>
      </c>
      <c r="G573" s="1">
        <v>0.5</v>
      </c>
      <c r="H573" s="1">
        <v>0.322175732217573</v>
      </c>
      <c r="I573" s="1" t="s">
        <v>2959</v>
      </c>
      <c r="J573" s="1">
        <v>0.0</v>
      </c>
      <c r="K573" s="1">
        <v>0.0</v>
      </c>
      <c r="L573" s="1">
        <v>1.0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 t="s">
        <v>1501</v>
      </c>
      <c r="S573" s="1">
        <v>0.052381433856401</v>
      </c>
    </row>
    <row r="574" ht="15.75" customHeight="1">
      <c r="A574" s="1" t="s">
        <v>2960</v>
      </c>
      <c r="B574" s="1" t="s">
        <v>2961</v>
      </c>
      <c r="C574" s="1" t="s">
        <v>2962</v>
      </c>
      <c r="D574" s="1" t="s">
        <v>62</v>
      </c>
      <c r="E574" s="1">
        <v>2024.0</v>
      </c>
      <c r="F574" s="1">
        <v>1.0</v>
      </c>
      <c r="G574" s="1">
        <v>1.0</v>
      </c>
      <c r="H574" s="1">
        <v>1.08571428571429</v>
      </c>
      <c r="I574" s="1" t="s">
        <v>2963</v>
      </c>
      <c r="J574" s="1">
        <v>0.0</v>
      </c>
      <c r="K574" s="1">
        <v>0.330634278002699</v>
      </c>
      <c r="L574" s="1">
        <v>0.539811066126856</v>
      </c>
      <c r="M574" s="1">
        <v>0.129554655870445</v>
      </c>
      <c r="N574" s="1">
        <v>0.0</v>
      </c>
      <c r="O574" s="1">
        <v>0.0</v>
      </c>
      <c r="P574" s="1">
        <v>0.0</v>
      </c>
      <c r="Q574" s="1">
        <v>0.0</v>
      </c>
      <c r="R574" s="1" t="s">
        <v>1501</v>
      </c>
      <c r="S574" s="1">
        <v>0.0820761003583374</v>
      </c>
    </row>
    <row r="575" ht="15.75" customHeight="1">
      <c r="A575" s="1" t="s">
        <v>2964</v>
      </c>
      <c r="B575" s="1" t="s">
        <v>2965</v>
      </c>
      <c r="C575" s="1" t="s">
        <v>2966</v>
      </c>
      <c r="D575" s="1" t="s">
        <v>293</v>
      </c>
      <c r="E575" s="1">
        <v>2022.0</v>
      </c>
      <c r="F575" s="1">
        <v>1.0</v>
      </c>
      <c r="G575" s="1">
        <v>0.333333333333333</v>
      </c>
      <c r="H575" s="1">
        <v>0.177464788732394</v>
      </c>
      <c r="I575" s="1" t="s">
        <v>2967</v>
      </c>
      <c r="J575" s="1">
        <v>0.0</v>
      </c>
      <c r="K575" s="1">
        <v>0.0</v>
      </c>
      <c r="L575" s="1">
        <v>1.0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 t="s">
        <v>1501</v>
      </c>
      <c r="S575" s="1">
        <v>0.0463313559745286</v>
      </c>
    </row>
    <row r="576" ht="15.75" customHeight="1">
      <c r="A576" s="1" t="s">
        <v>2968</v>
      </c>
      <c r="B576" s="1" t="s">
        <v>439</v>
      </c>
      <c r="C576" s="1" t="s">
        <v>2969</v>
      </c>
      <c r="D576" s="1" t="s">
        <v>144</v>
      </c>
      <c r="E576" s="1">
        <v>2024.0</v>
      </c>
      <c r="F576" s="1">
        <v>1.0</v>
      </c>
      <c r="G576" s="1">
        <v>1.0</v>
      </c>
      <c r="H576" s="1">
        <v>1.08571428571429</v>
      </c>
      <c r="I576" s="1" t="s">
        <v>2970</v>
      </c>
      <c r="J576" s="1">
        <v>0.0</v>
      </c>
      <c r="K576" s="1">
        <v>0.0153846153846154</v>
      </c>
      <c r="L576" s="1">
        <v>0.984615384615385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 t="s">
        <v>1501</v>
      </c>
      <c r="S576" s="1">
        <v>0.070390647692099</v>
      </c>
    </row>
    <row r="577" ht="15.75" customHeight="1">
      <c r="A577" s="1" t="s">
        <v>2971</v>
      </c>
      <c r="B577" s="1" t="s">
        <v>2972</v>
      </c>
      <c r="C577" s="1" t="s">
        <v>2973</v>
      </c>
      <c r="D577" s="1" t="s">
        <v>225</v>
      </c>
      <c r="E577" s="1">
        <v>2023.0</v>
      </c>
      <c r="F577" s="1">
        <v>1.0</v>
      </c>
      <c r="G577" s="1">
        <v>0.5</v>
      </c>
      <c r="H577" s="1">
        <v>0.322175732217573</v>
      </c>
      <c r="I577" s="1" t="s">
        <v>2974</v>
      </c>
      <c r="J577" s="1">
        <v>0.0</v>
      </c>
      <c r="K577" s="1">
        <v>0.0</v>
      </c>
      <c r="L577" s="1">
        <v>1.0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 t="s">
        <v>1501</v>
      </c>
      <c r="S577" s="1">
        <v>0.0450432872278077</v>
      </c>
    </row>
    <row r="578" ht="15.75" customHeight="1">
      <c r="A578" s="1" t="s">
        <v>2975</v>
      </c>
      <c r="B578" s="1" t="s">
        <v>2976</v>
      </c>
      <c r="C578" s="1" t="s">
        <v>2977</v>
      </c>
      <c r="D578" s="1" t="s">
        <v>291</v>
      </c>
      <c r="E578" s="1">
        <v>2021.0</v>
      </c>
      <c r="F578" s="1">
        <v>1.0</v>
      </c>
      <c r="G578" s="1">
        <v>0.25</v>
      </c>
      <c r="H578" s="1">
        <v>0.0822784810126582</v>
      </c>
      <c r="I578" s="1" t="s">
        <v>2978</v>
      </c>
      <c r="J578" s="1">
        <v>0.0</v>
      </c>
      <c r="K578" s="1">
        <v>0.0</v>
      </c>
      <c r="L578" s="1">
        <v>1.0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 t="s">
        <v>1501</v>
      </c>
      <c r="S578" s="1">
        <v>0.0541115635013502</v>
      </c>
    </row>
    <row r="579" ht="15.75" customHeight="1">
      <c r="A579" s="1" t="s">
        <v>2979</v>
      </c>
      <c r="B579" s="1" t="s">
        <v>2980</v>
      </c>
      <c r="C579" s="1" t="s">
        <v>2981</v>
      </c>
      <c r="D579" s="1" t="s">
        <v>319</v>
      </c>
      <c r="E579" s="1">
        <v>2021.0</v>
      </c>
      <c r="F579" s="1">
        <v>1.0</v>
      </c>
      <c r="G579" s="1">
        <v>0.25</v>
      </c>
      <c r="H579" s="1">
        <v>0.0822784810126582</v>
      </c>
      <c r="I579" s="1" t="s">
        <v>2982</v>
      </c>
      <c r="J579" s="1">
        <v>0.0</v>
      </c>
      <c r="K579" s="1">
        <v>0.0</v>
      </c>
      <c r="L579" s="1">
        <v>1.0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 t="s">
        <v>1501</v>
      </c>
      <c r="S579" s="1">
        <v>0.00294450162486362</v>
      </c>
    </row>
    <row r="580" ht="15.75" customHeight="1">
      <c r="A580" s="1" t="s">
        <v>2983</v>
      </c>
      <c r="B580" s="1" t="s">
        <v>2984</v>
      </c>
      <c r="C580" s="1" t="s">
        <v>2985</v>
      </c>
      <c r="D580" s="1" t="s">
        <v>301</v>
      </c>
      <c r="E580" s="1">
        <v>2021.0</v>
      </c>
      <c r="F580" s="1">
        <v>1.0</v>
      </c>
      <c r="G580" s="1">
        <v>0.25</v>
      </c>
      <c r="H580" s="1">
        <v>0.0822784810126582</v>
      </c>
      <c r="I580" s="1" t="s">
        <v>2986</v>
      </c>
      <c r="J580" s="1">
        <v>0.0</v>
      </c>
      <c r="K580" s="1">
        <v>0.0204081632653061</v>
      </c>
      <c r="L580" s="1">
        <v>0.979591836734694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 t="s">
        <v>1501</v>
      </c>
      <c r="S580" s="1">
        <v>0.0657903416662716</v>
      </c>
    </row>
    <row r="581" ht="15.75" customHeight="1">
      <c r="A581" s="1" t="s">
        <v>2987</v>
      </c>
      <c r="B581" s="1" t="s">
        <v>2988</v>
      </c>
      <c r="C581" s="1" t="s">
        <v>2989</v>
      </c>
      <c r="D581" s="1" t="s">
        <v>228</v>
      </c>
      <c r="E581" s="1">
        <v>2019.0</v>
      </c>
      <c r="F581" s="1">
        <v>1.0</v>
      </c>
      <c r="G581" s="1">
        <v>0.166666666666667</v>
      </c>
      <c r="H581" s="1">
        <v>0.112211221122112</v>
      </c>
      <c r="I581" s="1" t="s">
        <v>2990</v>
      </c>
      <c r="J581" s="1">
        <v>0.0</v>
      </c>
      <c r="K581" s="1">
        <v>0.254237288135593</v>
      </c>
      <c r="L581" s="1">
        <v>0.745762711864407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 t="s">
        <v>1501</v>
      </c>
      <c r="S581" s="1">
        <v>0.0593299343535584</v>
      </c>
    </row>
    <row r="582" ht="15.75" customHeight="1">
      <c r="A582" s="1" t="s">
        <v>2991</v>
      </c>
      <c r="B582" s="1" t="s">
        <v>2992</v>
      </c>
      <c r="C582" s="1" t="s">
        <v>2993</v>
      </c>
      <c r="D582" s="1" t="s">
        <v>71</v>
      </c>
      <c r="E582" s="1">
        <v>2017.0</v>
      </c>
      <c r="F582" s="1">
        <v>1.0</v>
      </c>
      <c r="G582" s="1">
        <v>0.125</v>
      </c>
      <c r="H582" s="1">
        <v>0.0785340314136126</v>
      </c>
      <c r="I582" s="1" t="s">
        <v>2994</v>
      </c>
      <c r="J582" s="1">
        <v>0.0</v>
      </c>
      <c r="K582" s="1">
        <v>0.25</v>
      </c>
      <c r="L582" s="1">
        <v>0.75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 t="s">
        <v>1501</v>
      </c>
      <c r="S582" s="1">
        <v>0.00710500064480588</v>
      </c>
    </row>
    <row r="583" ht="15.75" customHeight="1">
      <c r="A583" s="1" t="s">
        <v>2995</v>
      </c>
      <c r="B583" s="1" t="s">
        <v>2996</v>
      </c>
      <c r="C583" s="1" t="s">
        <v>2997</v>
      </c>
      <c r="D583" s="1" t="s">
        <v>167</v>
      </c>
      <c r="E583" s="1">
        <v>2024.0</v>
      </c>
      <c r="F583" s="1">
        <v>0.0</v>
      </c>
      <c r="G583" s="1">
        <v>0.0</v>
      </c>
      <c r="H583" s="1">
        <v>0.0</v>
      </c>
      <c r="I583" s="1" t="s">
        <v>2998</v>
      </c>
      <c r="J583" s="1">
        <v>0.0</v>
      </c>
      <c r="K583" s="1">
        <v>0.407407407407407</v>
      </c>
      <c r="L583" s="1">
        <v>0.592592592592593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 t="s">
        <v>1501</v>
      </c>
      <c r="S583" s="1">
        <v>0.0692394032254762</v>
      </c>
    </row>
    <row r="584" ht="15.75" customHeight="1">
      <c r="A584" s="1" t="s">
        <v>2999</v>
      </c>
      <c r="B584" s="1" t="s">
        <v>3000</v>
      </c>
      <c r="C584" s="1" t="s">
        <v>3001</v>
      </c>
      <c r="D584" s="1" t="s">
        <v>206</v>
      </c>
      <c r="E584" s="1">
        <v>2022.0</v>
      </c>
      <c r="F584" s="1">
        <v>0.0</v>
      </c>
      <c r="G584" s="1">
        <v>0.0</v>
      </c>
      <c r="H584" s="1">
        <v>0.0</v>
      </c>
      <c r="I584" s="1" t="s">
        <v>3002</v>
      </c>
      <c r="J584" s="1">
        <v>0.0</v>
      </c>
      <c r="K584" s="1">
        <v>0.0930232558139535</v>
      </c>
      <c r="L584" s="1">
        <v>0.813953488372093</v>
      </c>
      <c r="M584" s="1">
        <v>0.0</v>
      </c>
      <c r="N584" s="1">
        <v>0.0930232558139535</v>
      </c>
      <c r="O584" s="1">
        <v>0.0</v>
      </c>
      <c r="P584" s="1">
        <v>0.0</v>
      </c>
      <c r="Q584" s="1">
        <v>0.0</v>
      </c>
      <c r="R584" s="1" t="s">
        <v>1501</v>
      </c>
      <c r="S584" s="1">
        <v>0.0310936068167856</v>
      </c>
    </row>
    <row r="585" ht="15.75" customHeight="1">
      <c r="A585" s="1" t="s">
        <v>3003</v>
      </c>
      <c r="B585" s="1" t="s">
        <v>3004</v>
      </c>
      <c r="C585" s="1" t="s">
        <v>3005</v>
      </c>
      <c r="D585" s="1" t="s">
        <v>320</v>
      </c>
      <c r="E585" s="1">
        <v>2024.0</v>
      </c>
      <c r="F585" s="1">
        <v>0.0</v>
      </c>
      <c r="G585" s="1">
        <v>0.0</v>
      </c>
      <c r="H585" s="1">
        <v>0.0</v>
      </c>
      <c r="I585" s="1" t="s">
        <v>3006</v>
      </c>
      <c r="J585" s="1">
        <v>0.0</v>
      </c>
      <c r="K585" s="1">
        <v>0.0</v>
      </c>
      <c r="L585" s="1">
        <v>0.973404255319149</v>
      </c>
      <c r="M585" s="1">
        <v>0.0</v>
      </c>
      <c r="N585" s="1">
        <v>0.0265957446808511</v>
      </c>
      <c r="O585" s="1">
        <v>0.0</v>
      </c>
      <c r="P585" s="1">
        <v>0.0</v>
      </c>
      <c r="Q585" s="1">
        <v>0.0</v>
      </c>
      <c r="R585" s="1" t="s">
        <v>1501</v>
      </c>
      <c r="S585" s="1">
        <v>0.0746119666248738</v>
      </c>
    </row>
    <row r="586" ht="15.75" customHeight="1">
      <c r="A586" s="1" t="s">
        <v>3007</v>
      </c>
      <c r="B586" s="1" t="s">
        <v>3008</v>
      </c>
      <c r="C586" s="1" t="s">
        <v>3009</v>
      </c>
      <c r="D586" s="1" t="s">
        <v>303</v>
      </c>
      <c r="E586" s="1">
        <v>2022.0</v>
      </c>
      <c r="F586" s="1">
        <v>0.0</v>
      </c>
      <c r="G586" s="1">
        <v>0.0</v>
      </c>
      <c r="H586" s="1">
        <v>0.0</v>
      </c>
      <c r="I586" s="1" t="s">
        <v>3010</v>
      </c>
      <c r="J586" s="1">
        <v>0.0</v>
      </c>
      <c r="K586" s="1">
        <v>0.285714285714286</v>
      </c>
      <c r="L586" s="1">
        <v>0.714285714285714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 t="s">
        <v>1501</v>
      </c>
      <c r="S586" s="1">
        <v>0.00399679173759283</v>
      </c>
    </row>
    <row r="587" ht="15.75" customHeight="1">
      <c r="A587" s="1" t="s">
        <v>3011</v>
      </c>
      <c r="B587" s="1" t="s">
        <v>3012</v>
      </c>
      <c r="C587" s="1" t="s">
        <v>3013</v>
      </c>
      <c r="D587" s="1" t="s">
        <v>124</v>
      </c>
      <c r="E587" s="1">
        <v>2024.0</v>
      </c>
      <c r="F587" s="1">
        <v>0.0</v>
      </c>
      <c r="G587" s="1">
        <v>0.0</v>
      </c>
      <c r="H587" s="1">
        <v>0.0</v>
      </c>
      <c r="I587" s="1" t="s">
        <v>3014</v>
      </c>
      <c r="J587" s="1">
        <v>0.0</v>
      </c>
      <c r="K587" s="1">
        <v>0.00713266761768902</v>
      </c>
      <c r="L587" s="1">
        <v>0.855920114122682</v>
      </c>
      <c r="M587" s="1">
        <v>0.136947218259629</v>
      </c>
      <c r="N587" s="1">
        <v>0.0</v>
      </c>
      <c r="O587" s="1">
        <v>0.0</v>
      </c>
      <c r="P587" s="1">
        <v>0.0</v>
      </c>
      <c r="Q587" s="1">
        <v>0.0</v>
      </c>
      <c r="R587" s="1" t="s">
        <v>1501</v>
      </c>
      <c r="S587" s="1">
        <v>0.0934278975287988</v>
      </c>
    </row>
    <row r="588" ht="15.75" customHeight="1">
      <c r="A588" s="1" t="s">
        <v>3015</v>
      </c>
      <c r="B588" s="1" t="s">
        <v>3016</v>
      </c>
      <c r="C588" s="1" t="s">
        <v>3017</v>
      </c>
      <c r="D588" s="1" t="s">
        <v>251</v>
      </c>
      <c r="E588" s="1">
        <v>2024.0</v>
      </c>
      <c r="F588" s="1">
        <v>0.0</v>
      </c>
      <c r="G588" s="1">
        <v>0.0</v>
      </c>
      <c r="H588" s="1">
        <v>0.0</v>
      </c>
      <c r="I588" s="1" t="s">
        <v>3018</v>
      </c>
      <c r="J588" s="1">
        <v>0.0</v>
      </c>
      <c r="K588" s="1">
        <v>0.0588235294117647</v>
      </c>
      <c r="L588" s="1">
        <v>0.941176470588235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 t="s">
        <v>1501</v>
      </c>
      <c r="S588" s="1">
        <v>0.0702714504830498</v>
      </c>
    </row>
    <row r="589" ht="15.75" customHeight="1">
      <c r="A589" s="1" t="s">
        <v>3019</v>
      </c>
      <c r="B589" s="1" t="s">
        <v>3020</v>
      </c>
      <c r="C589" s="1" t="s">
        <v>3021</v>
      </c>
      <c r="D589" s="1" t="s">
        <v>62</v>
      </c>
      <c r="E589" s="1">
        <v>2024.0</v>
      </c>
      <c r="F589" s="1">
        <v>0.0</v>
      </c>
      <c r="G589" s="1">
        <v>0.0</v>
      </c>
      <c r="H589" s="1">
        <v>0.0</v>
      </c>
      <c r="I589" s="1" t="s">
        <v>3022</v>
      </c>
      <c r="J589" s="1">
        <v>0.0</v>
      </c>
      <c r="K589" s="1">
        <v>0.381185147071435</v>
      </c>
      <c r="L589" s="1">
        <v>0.528256581768287</v>
      </c>
      <c r="M589" s="1">
        <v>0.0</v>
      </c>
      <c r="N589" s="1">
        <v>0.0905582711602779</v>
      </c>
      <c r="O589" s="1">
        <v>0.0</v>
      </c>
      <c r="P589" s="1">
        <v>0.0</v>
      </c>
      <c r="Q589" s="1">
        <v>0.0</v>
      </c>
      <c r="R589" s="1" t="s">
        <v>1501</v>
      </c>
      <c r="S589" s="1">
        <v>0.0938085734898561</v>
      </c>
    </row>
    <row r="590" ht="15.75" customHeight="1">
      <c r="A590" s="1" t="s">
        <v>3023</v>
      </c>
      <c r="B590" s="1" t="s">
        <v>3024</v>
      </c>
      <c r="C590" s="1" t="s">
        <v>3025</v>
      </c>
      <c r="D590" s="1" t="s">
        <v>197</v>
      </c>
      <c r="E590" s="1">
        <v>2023.0</v>
      </c>
      <c r="F590" s="1">
        <v>0.0</v>
      </c>
      <c r="G590" s="1">
        <v>0.0</v>
      </c>
      <c r="H590" s="1">
        <v>0.0</v>
      </c>
      <c r="I590" s="1" t="s">
        <v>3026</v>
      </c>
      <c r="J590" s="1">
        <v>0.0</v>
      </c>
      <c r="K590" s="1">
        <v>0.0</v>
      </c>
      <c r="L590" s="1">
        <v>1.0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 t="s">
        <v>1501</v>
      </c>
      <c r="S590" s="1">
        <v>0.0505863484400807</v>
      </c>
    </row>
    <row r="591" ht="15.75" customHeight="1">
      <c r="A591" s="1" t="s">
        <v>3027</v>
      </c>
      <c r="B591" s="1" t="s">
        <v>3028</v>
      </c>
      <c r="C591" s="1" t="s">
        <v>3029</v>
      </c>
      <c r="D591" s="1" t="s">
        <v>132</v>
      </c>
      <c r="E591" s="1">
        <v>2024.0</v>
      </c>
      <c r="F591" s="1">
        <v>0.0</v>
      </c>
      <c r="G591" s="1">
        <v>0.0</v>
      </c>
      <c r="H591" s="1">
        <v>0.0</v>
      </c>
      <c r="I591" s="1" t="s">
        <v>3030</v>
      </c>
      <c r="J591" s="1">
        <v>0.0</v>
      </c>
      <c r="K591" s="1">
        <v>0.0</v>
      </c>
      <c r="L591" s="1">
        <v>1.0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 t="s">
        <v>1501</v>
      </c>
      <c r="S591" s="1">
        <v>0.0507549138794885</v>
      </c>
    </row>
    <row r="592" ht="15.75" customHeight="1">
      <c r="A592" s="1" t="s">
        <v>3031</v>
      </c>
      <c r="B592" s="1" t="s">
        <v>3032</v>
      </c>
      <c r="C592" s="1" t="s">
        <v>3033</v>
      </c>
      <c r="D592" s="1" t="s">
        <v>231</v>
      </c>
      <c r="E592" s="1">
        <v>2024.0</v>
      </c>
      <c r="F592" s="1">
        <v>0.0</v>
      </c>
      <c r="G592" s="1">
        <v>0.0</v>
      </c>
      <c r="H592" s="1">
        <v>0.0</v>
      </c>
      <c r="I592" s="1" t="s">
        <v>3034</v>
      </c>
      <c r="J592" s="1">
        <v>0.0</v>
      </c>
      <c r="K592" s="1">
        <v>0.0</v>
      </c>
      <c r="L592" s="1">
        <v>1.0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 t="s">
        <v>1501</v>
      </c>
      <c r="S592" s="1">
        <v>0.00498597738144132</v>
      </c>
    </row>
    <row r="593" ht="15.75" customHeight="1">
      <c r="A593" s="1" t="s">
        <v>3035</v>
      </c>
      <c r="B593" s="1" t="s">
        <v>3036</v>
      </c>
      <c r="C593" s="1" t="s">
        <v>3037</v>
      </c>
      <c r="D593" s="1" t="s">
        <v>232</v>
      </c>
      <c r="E593" s="1">
        <v>2024.0</v>
      </c>
      <c r="F593" s="1">
        <v>0.0</v>
      </c>
      <c r="G593" s="1">
        <v>0.0</v>
      </c>
      <c r="H593" s="1">
        <v>0.0</v>
      </c>
      <c r="I593" s="1" t="s">
        <v>3038</v>
      </c>
      <c r="J593" s="1">
        <v>0.129411764705882</v>
      </c>
      <c r="K593" s="1">
        <v>0.0</v>
      </c>
      <c r="L593" s="1">
        <v>0.776470588235294</v>
      </c>
      <c r="M593" s="1">
        <v>0.0</v>
      </c>
      <c r="N593" s="1">
        <v>0.0941176470588235</v>
      </c>
      <c r="O593" s="1">
        <v>0.0</v>
      </c>
      <c r="P593" s="1">
        <v>0.0</v>
      </c>
      <c r="Q593" s="1">
        <v>0.0</v>
      </c>
      <c r="R593" s="1" t="s">
        <v>1501</v>
      </c>
      <c r="S593" s="1">
        <v>0.0258385804218529</v>
      </c>
    </row>
    <row r="594" ht="15.75" customHeight="1">
      <c r="A594" s="1" t="s">
        <v>3039</v>
      </c>
      <c r="B594" s="1" t="s">
        <v>3040</v>
      </c>
      <c r="C594" s="1" t="s">
        <v>3041</v>
      </c>
      <c r="D594" s="1" t="s">
        <v>110</v>
      </c>
      <c r="E594" s="1">
        <v>2024.0</v>
      </c>
      <c r="F594" s="1">
        <v>0.0</v>
      </c>
      <c r="G594" s="1">
        <v>0.0</v>
      </c>
      <c r="H594" s="1">
        <v>0.0</v>
      </c>
      <c r="I594" s="1" t="s">
        <v>3042</v>
      </c>
      <c r="J594" s="1">
        <v>0.0</v>
      </c>
      <c r="K594" s="1">
        <v>0.0</v>
      </c>
      <c r="L594" s="1">
        <v>1.0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 t="s">
        <v>1501</v>
      </c>
      <c r="S594" s="1">
        <v>0.0493216773329864</v>
      </c>
    </row>
    <row r="595" ht="15.75" customHeight="1">
      <c r="A595" s="1" t="s">
        <v>3043</v>
      </c>
      <c r="B595" s="1" t="s">
        <v>3044</v>
      </c>
      <c r="C595" s="1" t="s">
        <v>3045</v>
      </c>
      <c r="D595" s="1" t="s">
        <v>71</v>
      </c>
      <c r="E595" s="1">
        <v>2024.0</v>
      </c>
      <c r="F595" s="1">
        <v>0.0</v>
      </c>
      <c r="G595" s="1">
        <v>0.0</v>
      </c>
      <c r="H595" s="1">
        <v>0.0</v>
      </c>
      <c r="I595" s="1" t="s">
        <v>3046</v>
      </c>
      <c r="J595" s="1">
        <v>0.0</v>
      </c>
      <c r="K595" s="1">
        <v>0.0</v>
      </c>
      <c r="L595" s="1">
        <v>1.0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 t="s">
        <v>1501</v>
      </c>
      <c r="S595" s="1">
        <v>0.0450432872278077</v>
      </c>
    </row>
    <row r="596" ht="15.75" customHeight="1">
      <c r="A596" s="1" t="s">
        <v>3047</v>
      </c>
      <c r="B596" s="1" t="s">
        <v>3048</v>
      </c>
      <c r="C596" s="1" t="s">
        <v>3049</v>
      </c>
      <c r="D596" s="1" t="s">
        <v>65</v>
      </c>
      <c r="E596" s="1">
        <v>2024.0</v>
      </c>
      <c r="F596" s="1">
        <v>0.0</v>
      </c>
      <c r="G596" s="1">
        <v>0.0</v>
      </c>
      <c r="H596" s="1">
        <v>0.0</v>
      </c>
      <c r="I596" s="1" t="s">
        <v>3050</v>
      </c>
      <c r="J596" s="1">
        <v>0.0</v>
      </c>
      <c r="K596" s="1">
        <v>0.0</v>
      </c>
      <c r="L596" s="1">
        <v>1.0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 t="s">
        <v>1501</v>
      </c>
      <c r="S596" s="1">
        <v>0.0515209484812557</v>
      </c>
    </row>
    <row r="597" ht="15.75" customHeight="1">
      <c r="A597" s="1" t="s">
        <v>3051</v>
      </c>
      <c r="B597" s="1" t="s">
        <v>3052</v>
      </c>
      <c r="C597" s="1" t="s">
        <v>3053</v>
      </c>
      <c r="D597" s="1" t="s">
        <v>87</v>
      </c>
      <c r="E597" s="1">
        <v>2019.0</v>
      </c>
      <c r="F597" s="1">
        <v>0.0</v>
      </c>
      <c r="G597" s="1">
        <v>0.0</v>
      </c>
      <c r="H597" s="1">
        <v>0.0</v>
      </c>
      <c r="I597" s="1" t="s">
        <v>3054</v>
      </c>
      <c r="J597" s="1">
        <v>0.0</v>
      </c>
      <c r="K597" s="1">
        <v>0.0</v>
      </c>
      <c r="L597" s="1">
        <v>1.0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 t="s">
        <v>1501</v>
      </c>
      <c r="S597" s="1">
        <v>0.049624144351467</v>
      </c>
    </row>
    <row r="598" ht="15.75" customHeight="1">
      <c r="A598" s="1" t="s">
        <v>3055</v>
      </c>
      <c r="B598" s="1" t="s">
        <v>3056</v>
      </c>
      <c r="C598" s="1" t="s">
        <v>3057</v>
      </c>
      <c r="D598" s="1" t="s">
        <v>112</v>
      </c>
      <c r="E598" s="1">
        <v>2018.0</v>
      </c>
      <c r="F598" s="1">
        <v>0.0</v>
      </c>
      <c r="G598" s="1">
        <v>0.0</v>
      </c>
      <c r="H598" s="1">
        <v>0.0</v>
      </c>
      <c r="I598" s="1" t="s">
        <v>3058</v>
      </c>
      <c r="J598" s="1">
        <v>0.0</v>
      </c>
      <c r="K598" s="1">
        <v>0.0</v>
      </c>
      <c r="L598" s="1">
        <v>1.0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 t="s">
        <v>1501</v>
      </c>
      <c r="S598" s="1">
        <v>0.0541458619286193</v>
      </c>
    </row>
    <row r="599" ht="15.75" customHeight="1">
      <c r="A599" s="1" t="s">
        <v>3059</v>
      </c>
      <c r="B599" s="1" t="s">
        <v>3060</v>
      </c>
      <c r="C599" s="1" t="s">
        <v>3061</v>
      </c>
      <c r="D599" s="1" t="s">
        <v>113</v>
      </c>
      <c r="E599" s="1">
        <v>2015.0</v>
      </c>
      <c r="F599" s="1">
        <v>0.0</v>
      </c>
      <c r="G599" s="1">
        <v>0.0</v>
      </c>
      <c r="H599" s="1">
        <v>0.0</v>
      </c>
      <c r="I599" s="1" t="s">
        <v>3062</v>
      </c>
      <c r="J599" s="1">
        <v>0.0</v>
      </c>
      <c r="K599" s="1">
        <v>0.0</v>
      </c>
      <c r="L599" s="1">
        <v>1.0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 t="s">
        <v>1501</v>
      </c>
      <c r="S599" s="1">
        <v>0.0450432872278077</v>
      </c>
    </row>
    <row r="600" ht="15.75" customHeight="1">
      <c r="A600" s="1" t="s">
        <v>3063</v>
      </c>
      <c r="B600" s="1" t="s">
        <v>3064</v>
      </c>
      <c r="C600" s="1" t="s">
        <v>3065</v>
      </c>
      <c r="D600" s="1" t="s">
        <v>269</v>
      </c>
      <c r="E600" s="1">
        <v>2014.0</v>
      </c>
      <c r="F600" s="1">
        <v>0.0</v>
      </c>
      <c r="G600" s="1">
        <v>0.0</v>
      </c>
      <c r="H600" s="1">
        <v>0.0</v>
      </c>
      <c r="I600" s="1" t="s">
        <v>3066</v>
      </c>
      <c r="J600" s="1">
        <v>0.0</v>
      </c>
      <c r="K600" s="1">
        <v>0.0</v>
      </c>
      <c r="L600" s="1">
        <v>1.0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 t="s">
        <v>1501</v>
      </c>
      <c r="S600" s="1">
        <v>0.0450432872278077</v>
      </c>
    </row>
    <row r="601" ht="15.75" customHeight="1">
      <c r="A601" s="1" t="s">
        <v>3067</v>
      </c>
      <c r="B601" s="1" t="s">
        <v>3068</v>
      </c>
      <c r="C601" s="1" t="s">
        <v>3069</v>
      </c>
      <c r="D601" s="1" t="s">
        <v>321</v>
      </c>
      <c r="E601" s="1">
        <v>2007.0</v>
      </c>
      <c r="F601" s="1">
        <v>305.0</v>
      </c>
      <c r="G601" s="1">
        <v>16.9444444444444</v>
      </c>
      <c r="H601" s="1">
        <v>1.91222570532915</v>
      </c>
      <c r="I601" s="1" t="s">
        <v>3070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/>
      <c r="S601" s="1">
        <v>0.0</v>
      </c>
    </row>
    <row r="602" ht="15.75" customHeight="1">
      <c r="A602" s="1" t="s">
        <v>3071</v>
      </c>
      <c r="B602" s="1" t="s">
        <v>3072</v>
      </c>
      <c r="C602" s="1" t="s">
        <v>3073</v>
      </c>
      <c r="D602" s="1" t="s">
        <v>224</v>
      </c>
      <c r="E602" s="1">
        <v>2021.0</v>
      </c>
      <c r="F602" s="1">
        <v>30.0</v>
      </c>
      <c r="G602" s="1">
        <v>7.5</v>
      </c>
      <c r="H602" s="1">
        <v>2.46835443037975</v>
      </c>
      <c r="I602" s="1" t="s">
        <v>3074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/>
      <c r="S602" s="1">
        <v>0.0</v>
      </c>
    </row>
    <row r="603" ht="15.75" customHeight="1">
      <c r="A603" s="1" t="s">
        <v>3075</v>
      </c>
      <c r="B603" s="1" t="s">
        <v>3076</v>
      </c>
      <c r="C603" s="1" t="s">
        <v>3077</v>
      </c>
      <c r="D603" s="1" t="s">
        <v>281</v>
      </c>
      <c r="E603" s="1">
        <v>2017.0</v>
      </c>
      <c r="F603" s="1">
        <v>29.0</v>
      </c>
      <c r="G603" s="1">
        <v>3.625</v>
      </c>
      <c r="H603" s="1">
        <v>2.27748691099476</v>
      </c>
      <c r="I603" s="1" t="s">
        <v>3078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/>
      <c r="S603" s="1">
        <v>0.0</v>
      </c>
    </row>
    <row r="604" ht="15.75" customHeight="1">
      <c r="A604" s="1" t="s">
        <v>3079</v>
      </c>
      <c r="B604" s="1" t="s">
        <v>3080</v>
      </c>
      <c r="C604" s="1" t="s">
        <v>3081</v>
      </c>
      <c r="D604" s="1" t="s">
        <v>249</v>
      </c>
      <c r="E604" s="1">
        <v>2011.0</v>
      </c>
      <c r="F604" s="1">
        <v>23.0</v>
      </c>
      <c r="G604" s="1">
        <v>1.64285714285714</v>
      </c>
      <c r="H604" s="1">
        <v>1.19791666666667</v>
      </c>
      <c r="I604" s="1" t="s">
        <v>3082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/>
      <c r="S604" s="1">
        <v>0.0</v>
      </c>
    </row>
    <row r="605" ht="15.75" customHeight="1">
      <c r="A605" s="1" t="s">
        <v>3083</v>
      </c>
      <c r="B605" s="1" t="s">
        <v>3084</v>
      </c>
      <c r="C605" s="1" t="s">
        <v>3085</v>
      </c>
      <c r="D605" s="1" t="s">
        <v>123</v>
      </c>
      <c r="E605" s="1">
        <v>2020.0</v>
      </c>
      <c r="F605" s="1">
        <v>19.0</v>
      </c>
      <c r="G605" s="1">
        <v>3.8</v>
      </c>
      <c r="H605" s="1">
        <v>0.894117647058824</v>
      </c>
      <c r="I605" s="1" t="s">
        <v>3086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/>
      <c r="S605" s="1">
        <v>0.0</v>
      </c>
    </row>
    <row r="606" ht="15.75" customHeight="1">
      <c r="A606" s="1" t="s">
        <v>3087</v>
      </c>
      <c r="B606" s="1" t="s">
        <v>3088</v>
      </c>
      <c r="C606" s="1" t="s">
        <v>3089</v>
      </c>
      <c r="D606" s="1" t="s">
        <v>62</v>
      </c>
      <c r="E606" s="1">
        <v>2021.0</v>
      </c>
      <c r="F606" s="1">
        <v>19.0</v>
      </c>
      <c r="G606" s="1">
        <v>4.75</v>
      </c>
      <c r="H606" s="1">
        <v>1.56329113924051</v>
      </c>
      <c r="I606" s="1" t="s">
        <v>3090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/>
      <c r="S606" s="1">
        <v>0.0</v>
      </c>
    </row>
    <row r="607" ht="15.75" customHeight="1">
      <c r="A607" s="1" t="s">
        <v>3091</v>
      </c>
      <c r="B607" s="1" t="s">
        <v>3092</v>
      </c>
      <c r="C607" s="1" t="s">
        <v>3093</v>
      </c>
      <c r="D607" s="1" t="s">
        <v>103</v>
      </c>
      <c r="E607" s="1">
        <v>2014.0</v>
      </c>
      <c r="F607" s="1">
        <v>17.0</v>
      </c>
      <c r="G607" s="1">
        <v>1.54545454545455</v>
      </c>
      <c r="H607" s="1">
        <v>0.336633663366337</v>
      </c>
      <c r="I607" s="1" t="s">
        <v>3094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/>
      <c r="S607" s="1">
        <v>0.0</v>
      </c>
    </row>
    <row r="608" ht="15.75" customHeight="1">
      <c r="A608" s="1" t="s">
        <v>3095</v>
      </c>
      <c r="B608" s="1" t="s">
        <v>3096</v>
      </c>
      <c r="C608" s="1" t="s">
        <v>3097</v>
      </c>
      <c r="D608" s="1" t="s">
        <v>145</v>
      </c>
      <c r="E608" s="1">
        <v>2008.0</v>
      </c>
      <c r="F608" s="1">
        <v>17.0</v>
      </c>
      <c r="G608" s="1">
        <v>1.0</v>
      </c>
      <c r="H608" s="1">
        <v>1.30769230769231</v>
      </c>
      <c r="I608" s="1" t="s">
        <v>3098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/>
      <c r="S608" s="1">
        <v>0.0</v>
      </c>
    </row>
    <row r="609" ht="15.75" customHeight="1">
      <c r="A609" s="1" t="s">
        <v>3099</v>
      </c>
      <c r="B609" s="1" t="s">
        <v>3100</v>
      </c>
      <c r="C609" s="1" t="s">
        <v>3101</v>
      </c>
      <c r="D609" s="1" t="s">
        <v>330</v>
      </c>
      <c r="E609" s="1">
        <v>2019.0</v>
      </c>
      <c r="F609" s="1">
        <v>15.0</v>
      </c>
      <c r="G609" s="1">
        <v>2.5</v>
      </c>
      <c r="H609" s="1">
        <v>1.68316831683168</v>
      </c>
      <c r="I609" s="1" t="s">
        <v>3102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/>
      <c r="S609" s="1">
        <v>0.0</v>
      </c>
    </row>
    <row r="610" ht="15.75" customHeight="1">
      <c r="A610" s="1" t="s">
        <v>3103</v>
      </c>
      <c r="B610" s="1" t="s">
        <v>3104</v>
      </c>
      <c r="C610" s="1" t="s">
        <v>3105</v>
      </c>
      <c r="D610" s="1" t="s">
        <v>62</v>
      </c>
      <c r="E610" s="1">
        <v>2019.0</v>
      </c>
      <c r="F610" s="1">
        <v>14.0</v>
      </c>
      <c r="G610" s="1">
        <v>2.33333333333333</v>
      </c>
      <c r="H610" s="1">
        <v>1.57095709570957</v>
      </c>
      <c r="I610" s="1" t="s">
        <v>3106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/>
      <c r="S610" s="1">
        <v>0.0</v>
      </c>
    </row>
    <row r="611" ht="15.75" customHeight="1">
      <c r="A611" s="1" t="s">
        <v>3107</v>
      </c>
      <c r="B611" s="1" t="s">
        <v>3108</v>
      </c>
      <c r="C611" s="1" t="s">
        <v>3109</v>
      </c>
      <c r="D611" s="1" t="s">
        <v>316</v>
      </c>
      <c r="E611" s="1">
        <v>2007.0</v>
      </c>
      <c r="F611" s="1">
        <v>14.0</v>
      </c>
      <c r="G611" s="1">
        <v>0.777777777777778</v>
      </c>
      <c r="H611" s="1">
        <v>0.0877742946708464</v>
      </c>
      <c r="I611" s="1" t="s">
        <v>3110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/>
      <c r="S611" s="1">
        <v>0.0</v>
      </c>
    </row>
    <row r="612" ht="15.75" customHeight="1">
      <c r="A612" s="1" t="s">
        <v>3111</v>
      </c>
      <c r="B612" s="1" t="s">
        <v>3112</v>
      </c>
      <c r="C612" s="1" t="s">
        <v>3113</v>
      </c>
      <c r="D612" s="1" t="s">
        <v>226</v>
      </c>
      <c r="E612" s="1">
        <v>2002.0</v>
      </c>
      <c r="F612" s="1">
        <v>14.0</v>
      </c>
      <c r="G612" s="1">
        <v>0.608695652173913</v>
      </c>
      <c r="H612" s="1">
        <v>1.0</v>
      </c>
      <c r="I612" s="1" t="s">
        <v>3114</v>
      </c>
      <c r="J612" s="1">
        <v>0.0</v>
      </c>
      <c r="K612" s="1">
        <v>0.0588235294117647</v>
      </c>
      <c r="L612" s="1">
        <v>0.470588235294118</v>
      </c>
      <c r="M612" s="1">
        <v>0.0</v>
      </c>
      <c r="N612" s="1">
        <v>0.470588235294118</v>
      </c>
      <c r="O612" s="1">
        <v>0.0</v>
      </c>
      <c r="P612" s="1">
        <v>0.0</v>
      </c>
      <c r="Q612" s="1">
        <v>0.0</v>
      </c>
      <c r="R612" s="1"/>
      <c r="S612" s="1">
        <v>0.0</v>
      </c>
    </row>
    <row r="613" ht="15.75" customHeight="1">
      <c r="A613" s="1" t="s">
        <v>3115</v>
      </c>
      <c r="B613" s="1" t="s">
        <v>3116</v>
      </c>
      <c r="C613" s="1" t="s">
        <v>3117</v>
      </c>
      <c r="D613" s="1" t="s">
        <v>328</v>
      </c>
      <c r="E613" s="1">
        <v>2009.0</v>
      </c>
      <c r="F613" s="1">
        <v>13.0</v>
      </c>
      <c r="G613" s="1">
        <v>0.8125</v>
      </c>
      <c r="H613" s="1">
        <v>1.69565217391304</v>
      </c>
      <c r="I613" s="1" t="s">
        <v>3118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/>
      <c r="S613" s="1">
        <v>0.0</v>
      </c>
    </row>
    <row r="614" ht="15.75" customHeight="1">
      <c r="A614" s="1" t="s">
        <v>3119</v>
      </c>
      <c r="B614" s="1" t="s">
        <v>634</v>
      </c>
      <c r="C614" s="1" t="s">
        <v>3120</v>
      </c>
      <c r="D614" s="1" t="s">
        <v>62</v>
      </c>
      <c r="E614" s="1">
        <v>2019.0</v>
      </c>
      <c r="F614" s="1">
        <v>12.0</v>
      </c>
      <c r="G614" s="1">
        <v>2.0</v>
      </c>
      <c r="H614" s="1">
        <v>1.34653465346535</v>
      </c>
      <c r="I614" s="1" t="s">
        <v>3121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/>
      <c r="S614" s="1">
        <v>0.0</v>
      </c>
    </row>
    <row r="615" ht="15.75" customHeight="1">
      <c r="A615" s="1" t="s">
        <v>3122</v>
      </c>
      <c r="B615" s="1" t="s">
        <v>3123</v>
      </c>
      <c r="C615" s="1" t="s">
        <v>3124</v>
      </c>
      <c r="D615" s="1" t="s">
        <v>62</v>
      </c>
      <c r="E615" s="1">
        <v>2021.0</v>
      </c>
      <c r="F615" s="1">
        <v>12.0</v>
      </c>
      <c r="G615" s="1">
        <v>3.0</v>
      </c>
      <c r="H615" s="1">
        <v>0.987341772151899</v>
      </c>
      <c r="I615" s="1" t="s">
        <v>3125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/>
      <c r="S615" s="1">
        <v>0.0</v>
      </c>
    </row>
    <row r="616" ht="15.75" customHeight="1">
      <c r="A616" s="1" t="s">
        <v>3126</v>
      </c>
      <c r="B616" s="1" t="s">
        <v>381</v>
      </c>
      <c r="C616" s="1" t="s">
        <v>3127</v>
      </c>
      <c r="D616" s="1" t="s">
        <v>78</v>
      </c>
      <c r="E616" s="1">
        <v>2018.0</v>
      </c>
      <c r="F616" s="1">
        <v>12.0</v>
      </c>
      <c r="G616" s="1">
        <v>1.71428571428571</v>
      </c>
      <c r="H616" s="1">
        <v>0.938775510204082</v>
      </c>
      <c r="I616" s="1" t="s">
        <v>3128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/>
      <c r="S616" s="1">
        <v>0.0</v>
      </c>
    </row>
    <row r="617" ht="15.75" customHeight="1">
      <c r="A617" s="1" t="s">
        <v>3129</v>
      </c>
      <c r="B617" s="1" t="s">
        <v>3130</v>
      </c>
      <c r="C617" s="1" t="s">
        <v>3131</v>
      </c>
      <c r="D617" s="1" t="s">
        <v>294</v>
      </c>
      <c r="E617" s="1">
        <v>2024.0</v>
      </c>
      <c r="F617" s="1">
        <v>11.0</v>
      </c>
      <c r="G617" s="1">
        <v>11.0</v>
      </c>
      <c r="H617" s="1">
        <v>11.9428571428571</v>
      </c>
      <c r="I617" s="1" t="s">
        <v>3132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/>
      <c r="S617" s="1">
        <v>0.0</v>
      </c>
    </row>
    <row r="618" ht="15.75" customHeight="1">
      <c r="A618" s="1" t="s">
        <v>3133</v>
      </c>
      <c r="B618" s="1" t="s">
        <v>3134</v>
      </c>
      <c r="C618" s="1" t="s">
        <v>3135</v>
      </c>
      <c r="D618" s="1" t="s">
        <v>65</v>
      </c>
      <c r="E618" s="1">
        <v>2021.0</v>
      </c>
      <c r="F618" s="1">
        <v>10.0</v>
      </c>
      <c r="G618" s="1">
        <v>2.5</v>
      </c>
      <c r="H618" s="1">
        <v>0.822784810126582</v>
      </c>
      <c r="I618" s="1" t="s">
        <v>3136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/>
      <c r="S618" s="1">
        <v>0.0</v>
      </c>
    </row>
    <row r="619" ht="15.75" customHeight="1">
      <c r="A619" s="1" t="s">
        <v>3137</v>
      </c>
      <c r="B619" s="1" t="s">
        <v>1714</v>
      </c>
      <c r="C619" s="1" t="s">
        <v>3138</v>
      </c>
      <c r="D619" s="1" t="s">
        <v>234</v>
      </c>
      <c r="E619" s="1">
        <v>2020.0</v>
      </c>
      <c r="F619" s="1">
        <v>10.0</v>
      </c>
      <c r="G619" s="1">
        <v>2.0</v>
      </c>
      <c r="H619" s="1">
        <v>0.470588235294118</v>
      </c>
      <c r="I619" s="1" t="s">
        <v>3139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/>
      <c r="S619" s="1">
        <v>0.0</v>
      </c>
    </row>
    <row r="620" ht="15.75" customHeight="1">
      <c r="A620" s="1" t="s">
        <v>3140</v>
      </c>
      <c r="B620" s="1" t="s">
        <v>3141</v>
      </c>
      <c r="C620" s="1" t="s">
        <v>3142</v>
      </c>
      <c r="D620" s="1" t="s">
        <v>257</v>
      </c>
      <c r="E620" s="1">
        <v>2006.0</v>
      </c>
      <c r="F620" s="1">
        <v>10.0</v>
      </c>
      <c r="G620" s="1">
        <v>0.526315789473684</v>
      </c>
      <c r="H620" s="1">
        <v>1.5</v>
      </c>
      <c r="I620" s="1" t="s">
        <v>3143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/>
      <c r="S620" s="1">
        <v>0.0</v>
      </c>
    </row>
    <row r="621" ht="15.75" customHeight="1">
      <c r="A621" s="1" t="s">
        <v>3144</v>
      </c>
      <c r="B621" s="1" t="s">
        <v>3145</v>
      </c>
      <c r="C621" s="1" t="s">
        <v>3146</v>
      </c>
      <c r="D621" s="1" t="s">
        <v>193</v>
      </c>
      <c r="E621" s="1">
        <v>2022.0</v>
      </c>
      <c r="F621" s="1">
        <v>9.0</v>
      </c>
      <c r="G621" s="1">
        <v>3.0</v>
      </c>
      <c r="H621" s="1">
        <v>1.59718309859155</v>
      </c>
      <c r="I621" s="1" t="s">
        <v>3147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/>
      <c r="S621" s="1">
        <v>0.0</v>
      </c>
    </row>
    <row r="622" ht="15.75" customHeight="1">
      <c r="A622" s="1" t="s">
        <v>3148</v>
      </c>
      <c r="B622" s="1" t="s">
        <v>3149</v>
      </c>
      <c r="C622" s="1" t="s">
        <v>3150</v>
      </c>
      <c r="D622" s="1" t="s">
        <v>121</v>
      </c>
      <c r="E622" s="1">
        <v>2016.0</v>
      </c>
      <c r="F622" s="1">
        <v>9.0</v>
      </c>
      <c r="G622" s="1">
        <v>1.0</v>
      </c>
      <c r="H622" s="1">
        <v>1.01123595505618</v>
      </c>
      <c r="I622" s="1" t="s">
        <v>3151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/>
      <c r="S622" s="1">
        <v>0.0</v>
      </c>
    </row>
    <row r="623" ht="15.75" customHeight="1">
      <c r="A623" s="1" t="s">
        <v>3152</v>
      </c>
      <c r="B623" s="1" t="s">
        <v>3153</v>
      </c>
      <c r="C623" s="1" t="s">
        <v>3154</v>
      </c>
      <c r="D623" s="1" t="s">
        <v>117</v>
      </c>
      <c r="E623" s="1">
        <v>2015.0</v>
      </c>
      <c r="F623" s="1">
        <v>8.0</v>
      </c>
      <c r="G623" s="1">
        <v>0.8</v>
      </c>
      <c r="H623" s="1">
        <v>0.365482233502538</v>
      </c>
      <c r="I623" s="1" t="s">
        <v>3155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/>
      <c r="S623" s="1">
        <v>0.0</v>
      </c>
    </row>
    <row r="624" ht="15.75" customHeight="1">
      <c r="A624" s="1" t="s">
        <v>3156</v>
      </c>
      <c r="B624" s="1" t="s">
        <v>651</v>
      </c>
      <c r="C624" s="1" t="s">
        <v>3157</v>
      </c>
      <c r="D624" s="1" t="s">
        <v>270</v>
      </c>
      <c r="E624" s="1">
        <v>2006.0</v>
      </c>
      <c r="F624" s="1">
        <v>8.0</v>
      </c>
      <c r="G624" s="1">
        <v>0.421052631578947</v>
      </c>
      <c r="H624" s="1">
        <v>1.2</v>
      </c>
      <c r="I624" s="1" t="s">
        <v>3158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/>
      <c r="S624" s="1">
        <v>0.0</v>
      </c>
    </row>
    <row r="625" ht="15.75" customHeight="1">
      <c r="A625" s="1" t="s">
        <v>3159</v>
      </c>
      <c r="B625" s="1" t="s">
        <v>3160</v>
      </c>
      <c r="C625" s="1" t="s">
        <v>3161</v>
      </c>
      <c r="D625" s="1" t="s">
        <v>163</v>
      </c>
      <c r="E625" s="1">
        <v>2020.0</v>
      </c>
      <c r="F625" s="1">
        <v>7.0</v>
      </c>
      <c r="G625" s="1">
        <v>1.4</v>
      </c>
      <c r="H625" s="1">
        <v>0.329411764705882</v>
      </c>
      <c r="I625" s="1" t="s">
        <v>3162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/>
      <c r="S625" s="1">
        <v>0.0</v>
      </c>
    </row>
    <row r="626" ht="15.75" customHeight="1">
      <c r="A626" s="1" t="s">
        <v>3163</v>
      </c>
      <c r="B626" s="1" t="s">
        <v>3164</v>
      </c>
      <c r="C626" s="1" t="s">
        <v>3165</v>
      </c>
      <c r="D626" s="1" t="s">
        <v>112</v>
      </c>
      <c r="E626" s="1">
        <v>2019.0</v>
      </c>
      <c r="F626" s="1">
        <v>7.0</v>
      </c>
      <c r="G626" s="1">
        <v>1.16666666666667</v>
      </c>
      <c r="H626" s="1">
        <v>0.785478547854785</v>
      </c>
      <c r="I626" s="1" t="s">
        <v>3166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/>
      <c r="S626" s="1">
        <v>0.0</v>
      </c>
    </row>
    <row r="627" ht="15.75" customHeight="1">
      <c r="A627" s="1" t="s">
        <v>3167</v>
      </c>
      <c r="B627" s="1" t="s">
        <v>3168</v>
      </c>
      <c r="C627" s="1" t="s">
        <v>3169</v>
      </c>
      <c r="D627" s="1" t="s">
        <v>101</v>
      </c>
      <c r="E627" s="1">
        <v>2010.0</v>
      </c>
      <c r="F627" s="1">
        <v>7.0</v>
      </c>
      <c r="G627" s="1">
        <v>0.466666666666667</v>
      </c>
      <c r="H627" s="1">
        <v>1.23529411764706</v>
      </c>
      <c r="I627" s="1" t="s">
        <v>3170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/>
      <c r="S627" s="1">
        <v>0.0</v>
      </c>
    </row>
    <row r="628" ht="15.75" customHeight="1">
      <c r="A628" s="1" t="s">
        <v>3171</v>
      </c>
      <c r="B628" s="1" t="s">
        <v>3172</v>
      </c>
      <c r="C628" s="1" t="s">
        <v>3173</v>
      </c>
      <c r="D628" s="1" t="s">
        <v>119</v>
      </c>
      <c r="E628" s="1">
        <v>2024.0</v>
      </c>
      <c r="F628" s="1">
        <v>6.0</v>
      </c>
      <c r="G628" s="1">
        <v>6.0</v>
      </c>
      <c r="H628" s="1">
        <v>6.51428571428571</v>
      </c>
      <c r="I628" s="1" t="s">
        <v>3174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/>
      <c r="S628" s="1">
        <v>0.0</v>
      </c>
    </row>
    <row r="629" ht="15.75" customHeight="1">
      <c r="A629" s="1" t="s">
        <v>3175</v>
      </c>
      <c r="B629" s="1" t="s">
        <v>3176</v>
      </c>
      <c r="C629" s="1" t="s">
        <v>3177</v>
      </c>
      <c r="D629" s="1" t="s">
        <v>147</v>
      </c>
      <c r="E629" s="1">
        <v>2010.0</v>
      </c>
      <c r="F629" s="1">
        <v>6.0</v>
      </c>
      <c r="G629" s="1">
        <v>0.4</v>
      </c>
      <c r="H629" s="1">
        <v>1.05882352941176</v>
      </c>
      <c r="I629" s="1" t="s">
        <v>3178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/>
      <c r="S629" s="1">
        <v>0.0</v>
      </c>
    </row>
    <row r="630" ht="15.75" customHeight="1">
      <c r="A630" s="1" t="s">
        <v>3179</v>
      </c>
      <c r="B630" s="1" t="s">
        <v>3180</v>
      </c>
      <c r="C630" s="1" t="s">
        <v>3181</v>
      </c>
      <c r="D630" s="1" t="s">
        <v>297</v>
      </c>
      <c r="E630" s="1">
        <v>2008.0</v>
      </c>
      <c r="F630" s="1">
        <v>6.0</v>
      </c>
      <c r="G630" s="1">
        <v>0.352941176470588</v>
      </c>
      <c r="H630" s="1">
        <v>0.461538461538462</v>
      </c>
      <c r="I630" s="1" t="s">
        <v>3182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/>
      <c r="S630" s="1">
        <v>0.0</v>
      </c>
    </row>
    <row r="631" ht="15.75" customHeight="1">
      <c r="A631" s="1" t="s">
        <v>3183</v>
      </c>
      <c r="B631" s="1" t="s">
        <v>389</v>
      </c>
      <c r="C631" s="1" t="s">
        <v>3184</v>
      </c>
      <c r="D631" s="1" t="s">
        <v>68</v>
      </c>
      <c r="E631" s="1">
        <v>2021.0</v>
      </c>
      <c r="F631" s="1">
        <v>6.0</v>
      </c>
      <c r="G631" s="1">
        <v>1.5</v>
      </c>
      <c r="H631" s="1">
        <v>0.493670886075949</v>
      </c>
      <c r="I631" s="1" t="s">
        <v>3185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/>
      <c r="S631" s="1">
        <v>0.0</v>
      </c>
    </row>
    <row r="632" ht="15.75" customHeight="1">
      <c r="A632" s="1" t="s">
        <v>3186</v>
      </c>
      <c r="B632" s="1" t="s">
        <v>3187</v>
      </c>
      <c r="C632" s="1" t="s">
        <v>3188</v>
      </c>
      <c r="D632" s="1" t="s">
        <v>75</v>
      </c>
      <c r="E632" s="1">
        <v>2021.0</v>
      </c>
      <c r="F632" s="1">
        <v>5.0</v>
      </c>
      <c r="G632" s="1">
        <v>1.25</v>
      </c>
      <c r="H632" s="1">
        <v>0.411392405063291</v>
      </c>
      <c r="I632" s="1" t="s">
        <v>3189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/>
      <c r="S632" s="1">
        <v>0.0</v>
      </c>
    </row>
    <row r="633" ht="15.75" customHeight="1">
      <c r="A633" s="1" t="s">
        <v>3190</v>
      </c>
      <c r="B633" s="1" t="s">
        <v>3191</v>
      </c>
      <c r="C633" s="1" t="s">
        <v>3192</v>
      </c>
      <c r="D633" s="1" t="s">
        <v>305</v>
      </c>
      <c r="E633" s="1">
        <v>2019.0</v>
      </c>
      <c r="F633" s="1">
        <v>5.0</v>
      </c>
      <c r="G633" s="1">
        <v>0.833333333333333</v>
      </c>
      <c r="H633" s="1">
        <v>0.561056105610561</v>
      </c>
      <c r="I633" s="1" t="s">
        <v>3193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/>
      <c r="S633" s="1">
        <v>0.0</v>
      </c>
    </row>
    <row r="634" ht="15.75" customHeight="1">
      <c r="A634" s="1" t="s">
        <v>3194</v>
      </c>
      <c r="B634" s="1" t="s">
        <v>362</v>
      </c>
      <c r="C634" s="1" t="s">
        <v>3195</v>
      </c>
      <c r="D634" s="1" t="s">
        <v>122</v>
      </c>
      <c r="E634" s="1">
        <v>2020.0</v>
      </c>
      <c r="F634" s="1">
        <v>5.0</v>
      </c>
      <c r="G634" s="1">
        <v>1.0</v>
      </c>
      <c r="H634" s="1">
        <v>0.235294117647059</v>
      </c>
      <c r="I634" s="1" t="s">
        <v>3196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/>
      <c r="S634" s="1">
        <v>0.0</v>
      </c>
    </row>
    <row r="635" ht="15.75" customHeight="1">
      <c r="A635" s="1" t="s">
        <v>3197</v>
      </c>
      <c r="B635" s="1" t="s">
        <v>3198</v>
      </c>
      <c r="C635" s="1" t="s">
        <v>3199</v>
      </c>
      <c r="D635" s="1" t="s">
        <v>335</v>
      </c>
      <c r="E635" s="1">
        <v>2019.0</v>
      </c>
      <c r="F635" s="1">
        <v>5.0</v>
      </c>
      <c r="G635" s="1">
        <v>0.833333333333333</v>
      </c>
      <c r="H635" s="1">
        <v>0.561056105610561</v>
      </c>
      <c r="I635" s="1" t="s">
        <v>3200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/>
      <c r="S635" s="1">
        <v>0.0</v>
      </c>
    </row>
    <row r="636" ht="15.75" customHeight="1">
      <c r="A636" s="1" t="s">
        <v>3201</v>
      </c>
      <c r="B636" s="1" t="s">
        <v>3202</v>
      </c>
      <c r="C636" s="1" t="s">
        <v>3203</v>
      </c>
      <c r="D636" s="1" t="s">
        <v>334</v>
      </c>
      <c r="E636" s="1">
        <v>2009.0</v>
      </c>
      <c r="F636" s="1">
        <v>5.0</v>
      </c>
      <c r="G636" s="1">
        <v>0.3125</v>
      </c>
      <c r="H636" s="1">
        <v>0.652173913043478</v>
      </c>
      <c r="I636" s="1" t="s">
        <v>3204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/>
      <c r="S636" s="1">
        <v>0.0</v>
      </c>
    </row>
    <row r="637" ht="15.75" customHeight="1">
      <c r="A637" s="1" t="s">
        <v>3205</v>
      </c>
      <c r="B637" s="1" t="s">
        <v>3206</v>
      </c>
      <c r="C637" s="1" t="s">
        <v>3207</v>
      </c>
      <c r="D637" s="1" t="s">
        <v>180</v>
      </c>
      <c r="E637" s="1">
        <v>2021.0</v>
      </c>
      <c r="F637" s="1">
        <v>4.0</v>
      </c>
      <c r="G637" s="1">
        <v>1.0</v>
      </c>
      <c r="H637" s="1">
        <v>0.329113924050633</v>
      </c>
      <c r="I637" s="1" t="s">
        <v>3208</v>
      </c>
      <c r="J637" s="1">
        <v>0.483663278232012</v>
      </c>
      <c r="K637" s="1">
        <v>0.173626741763591</v>
      </c>
      <c r="L637" s="1">
        <v>0.0</v>
      </c>
      <c r="M637" s="1">
        <v>0.0</v>
      </c>
      <c r="N637" s="1">
        <v>0.342709980004397</v>
      </c>
      <c r="O637" s="1">
        <v>0.0</v>
      </c>
      <c r="P637" s="1">
        <v>0.0</v>
      </c>
      <c r="Q637" s="1">
        <v>0.0</v>
      </c>
      <c r="R637" s="1"/>
      <c r="S637" s="1">
        <v>0.0</v>
      </c>
    </row>
    <row r="638" ht="15.75" customHeight="1">
      <c r="A638" s="1" t="s">
        <v>3209</v>
      </c>
      <c r="B638" s="1" t="s">
        <v>1785</v>
      </c>
      <c r="C638" s="1" t="s">
        <v>3210</v>
      </c>
      <c r="D638" s="1" t="s">
        <v>64</v>
      </c>
      <c r="E638" s="1">
        <v>2022.0</v>
      </c>
      <c r="F638" s="1">
        <v>4.0</v>
      </c>
      <c r="G638" s="1">
        <v>1.33333333333333</v>
      </c>
      <c r="H638" s="1">
        <v>0.709859154929577</v>
      </c>
      <c r="I638" s="1" t="s">
        <v>3211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/>
      <c r="S638" s="1">
        <v>0.0</v>
      </c>
    </row>
    <row r="639" ht="15.75" customHeight="1">
      <c r="A639" s="1" t="s">
        <v>3212</v>
      </c>
      <c r="B639" s="1" t="s">
        <v>3213</v>
      </c>
      <c r="C639" s="1" t="s">
        <v>3214</v>
      </c>
      <c r="D639" s="1" t="s">
        <v>68</v>
      </c>
      <c r="E639" s="1">
        <v>2020.0</v>
      </c>
      <c r="F639" s="1">
        <v>4.0</v>
      </c>
      <c r="G639" s="1">
        <v>0.8</v>
      </c>
      <c r="H639" s="1">
        <v>0.188235294117647</v>
      </c>
      <c r="I639" s="1" t="s">
        <v>3215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/>
      <c r="S639" s="1">
        <v>0.0</v>
      </c>
    </row>
    <row r="640" ht="15.75" customHeight="1">
      <c r="A640" s="1" t="s">
        <v>3216</v>
      </c>
      <c r="B640" s="1" t="s">
        <v>3217</v>
      </c>
      <c r="C640" s="1" t="s">
        <v>3218</v>
      </c>
      <c r="D640" s="1" t="s">
        <v>78</v>
      </c>
      <c r="E640" s="1">
        <v>2019.0</v>
      </c>
      <c r="F640" s="1">
        <v>4.0</v>
      </c>
      <c r="G640" s="1">
        <v>0.666666666666667</v>
      </c>
      <c r="H640" s="1">
        <v>0.448844884488449</v>
      </c>
      <c r="I640" s="1" t="s">
        <v>3219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/>
      <c r="S640" s="1">
        <v>0.0</v>
      </c>
    </row>
    <row r="641" ht="15.75" customHeight="1">
      <c r="A641" s="1" t="s">
        <v>3220</v>
      </c>
      <c r="B641" s="1" t="s">
        <v>1305</v>
      </c>
      <c r="C641" s="1" t="s">
        <v>3221</v>
      </c>
      <c r="D641" s="1" t="s">
        <v>67</v>
      </c>
      <c r="E641" s="1">
        <v>2019.0</v>
      </c>
      <c r="F641" s="1">
        <v>3.0</v>
      </c>
      <c r="G641" s="1">
        <v>0.5</v>
      </c>
      <c r="H641" s="1">
        <v>0.336633663366337</v>
      </c>
      <c r="I641" s="1" t="s">
        <v>3222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/>
      <c r="S641" s="1">
        <v>0.0</v>
      </c>
    </row>
    <row r="642" ht="15.75" customHeight="1">
      <c r="A642" s="1" t="s">
        <v>3223</v>
      </c>
      <c r="B642" s="1" t="s">
        <v>3224</v>
      </c>
      <c r="C642" s="1" t="s">
        <v>3225</v>
      </c>
      <c r="D642" s="1" t="s">
        <v>68</v>
      </c>
      <c r="E642" s="1">
        <v>2020.0</v>
      </c>
      <c r="F642" s="1">
        <v>3.0</v>
      </c>
      <c r="G642" s="1">
        <v>0.6</v>
      </c>
      <c r="H642" s="1">
        <v>0.141176470588235</v>
      </c>
      <c r="I642" s="1" t="s">
        <v>3226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/>
      <c r="S642" s="1">
        <v>0.0</v>
      </c>
    </row>
    <row r="643" ht="15.75" customHeight="1">
      <c r="A643" s="1" t="s">
        <v>3227</v>
      </c>
      <c r="B643" s="1" t="s">
        <v>3228</v>
      </c>
      <c r="C643" s="1" t="s">
        <v>3229</v>
      </c>
      <c r="D643" s="1" t="s">
        <v>65</v>
      </c>
      <c r="E643" s="1">
        <v>2019.0</v>
      </c>
      <c r="F643" s="1">
        <v>3.0</v>
      </c>
      <c r="G643" s="1">
        <v>0.5</v>
      </c>
      <c r="H643" s="1">
        <v>0.336633663366337</v>
      </c>
      <c r="I643" s="1" t="s">
        <v>3230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/>
      <c r="S643" s="1">
        <v>0.0</v>
      </c>
    </row>
    <row r="644" ht="15.75" customHeight="1">
      <c r="A644" s="1" t="s">
        <v>3231</v>
      </c>
      <c r="B644" s="1" t="s">
        <v>3232</v>
      </c>
      <c r="C644" s="1" t="s">
        <v>3233</v>
      </c>
      <c r="D644" s="1" t="s">
        <v>246</v>
      </c>
      <c r="E644" s="1">
        <v>2015.0</v>
      </c>
      <c r="F644" s="1">
        <v>3.0</v>
      </c>
      <c r="G644" s="1">
        <v>0.3</v>
      </c>
      <c r="H644" s="1">
        <v>0.137055837563452</v>
      </c>
      <c r="I644" s="1" t="s">
        <v>3234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/>
      <c r="S644" s="1">
        <v>0.0</v>
      </c>
    </row>
    <row r="645" ht="15.75" customHeight="1">
      <c r="A645" s="1" t="s">
        <v>3235</v>
      </c>
      <c r="B645" s="1" t="s">
        <v>3236</v>
      </c>
      <c r="C645" s="1" t="s">
        <v>3237</v>
      </c>
      <c r="D645" s="1" t="s">
        <v>165</v>
      </c>
      <c r="E645" s="1">
        <v>2009.0</v>
      </c>
      <c r="F645" s="1">
        <v>3.0</v>
      </c>
      <c r="G645" s="1">
        <v>0.1875</v>
      </c>
      <c r="H645" s="1">
        <v>0.391304347826087</v>
      </c>
      <c r="I645" s="1" t="s">
        <v>3238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/>
      <c r="S645" s="1">
        <v>0.0</v>
      </c>
    </row>
    <row r="646" ht="15.75" customHeight="1">
      <c r="A646" s="1" t="s">
        <v>3239</v>
      </c>
      <c r="B646" s="1" t="s">
        <v>3240</v>
      </c>
      <c r="C646" s="1" t="s">
        <v>3241</v>
      </c>
      <c r="D646" s="1" t="s">
        <v>170</v>
      </c>
      <c r="E646" s="1">
        <v>2020.0</v>
      </c>
      <c r="F646" s="1">
        <v>2.0</v>
      </c>
      <c r="G646" s="1">
        <v>0.4</v>
      </c>
      <c r="H646" s="1">
        <v>0.0941176470588235</v>
      </c>
      <c r="I646" s="1" t="s">
        <v>3242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/>
      <c r="S646" s="1">
        <v>0.0</v>
      </c>
    </row>
    <row r="647" ht="15.75" customHeight="1">
      <c r="A647" s="1" t="s">
        <v>3243</v>
      </c>
      <c r="B647" s="1" t="s">
        <v>3244</v>
      </c>
      <c r="C647" s="1" t="s">
        <v>3245</v>
      </c>
      <c r="D647" s="1" t="s">
        <v>74</v>
      </c>
      <c r="E647" s="1">
        <v>2023.0</v>
      </c>
      <c r="F647" s="1">
        <v>2.0</v>
      </c>
      <c r="G647" s="1">
        <v>1.0</v>
      </c>
      <c r="H647" s="1">
        <v>0.644351464435146</v>
      </c>
      <c r="I647" s="1" t="s">
        <v>3246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/>
      <c r="S647" s="1">
        <v>0.0</v>
      </c>
    </row>
    <row r="648" ht="15.75" customHeight="1">
      <c r="A648" s="1" t="s">
        <v>3247</v>
      </c>
      <c r="B648" s="1" t="s">
        <v>3248</v>
      </c>
      <c r="C648" s="1" t="s">
        <v>3249</v>
      </c>
      <c r="D648" s="1" t="s">
        <v>119</v>
      </c>
      <c r="E648" s="1">
        <v>2023.0</v>
      </c>
      <c r="F648" s="1">
        <v>2.0</v>
      </c>
      <c r="G648" s="1">
        <v>1.0</v>
      </c>
      <c r="H648" s="1">
        <v>0.644351464435146</v>
      </c>
      <c r="I648" s="1" t="s">
        <v>3250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/>
      <c r="S648" s="1">
        <v>0.0</v>
      </c>
    </row>
    <row r="649" ht="15.75" customHeight="1">
      <c r="A649" s="1" t="s">
        <v>3251</v>
      </c>
      <c r="B649" s="1" t="s">
        <v>439</v>
      </c>
      <c r="C649" s="1" t="s">
        <v>3252</v>
      </c>
      <c r="D649" s="1" t="s">
        <v>68</v>
      </c>
      <c r="E649" s="1">
        <v>2023.0</v>
      </c>
      <c r="F649" s="1">
        <v>2.0</v>
      </c>
      <c r="G649" s="1">
        <v>1.0</v>
      </c>
      <c r="H649" s="1">
        <v>0.644351464435146</v>
      </c>
      <c r="I649" s="1" t="s">
        <v>3253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/>
      <c r="S649" s="1">
        <v>0.0</v>
      </c>
    </row>
    <row r="650" ht="15.75" customHeight="1">
      <c r="A650" s="1" t="s">
        <v>3254</v>
      </c>
      <c r="B650" s="1" t="s">
        <v>3255</v>
      </c>
      <c r="C650" s="1" t="s">
        <v>3256</v>
      </c>
      <c r="D650" s="1" t="s">
        <v>65</v>
      </c>
      <c r="E650" s="1">
        <v>2023.0</v>
      </c>
      <c r="F650" s="1">
        <v>2.0</v>
      </c>
      <c r="G650" s="1">
        <v>1.0</v>
      </c>
      <c r="H650" s="1">
        <v>0.644351464435146</v>
      </c>
      <c r="I650" s="1" t="s">
        <v>3257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/>
      <c r="S650" s="1">
        <v>0.0</v>
      </c>
    </row>
    <row r="651" ht="15.75" customHeight="1">
      <c r="A651" s="1" t="s">
        <v>3258</v>
      </c>
      <c r="B651" s="1" t="s">
        <v>3259</v>
      </c>
      <c r="C651" s="1" t="s">
        <v>3260</v>
      </c>
      <c r="D651" s="1" t="s">
        <v>325</v>
      </c>
      <c r="E651" s="1">
        <v>2017.0</v>
      </c>
      <c r="F651" s="1">
        <v>2.0</v>
      </c>
      <c r="G651" s="1">
        <v>0.25</v>
      </c>
      <c r="H651" s="1">
        <v>0.157068062827225</v>
      </c>
      <c r="I651" s="1" t="s">
        <v>3261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/>
      <c r="S651" s="1">
        <v>0.0</v>
      </c>
    </row>
    <row r="652" ht="15.75" customHeight="1">
      <c r="A652" s="1" t="s">
        <v>3262</v>
      </c>
      <c r="B652" s="1" t="s">
        <v>3263</v>
      </c>
      <c r="C652" s="1" t="s">
        <v>3264</v>
      </c>
      <c r="D652" s="1" t="s">
        <v>283</v>
      </c>
      <c r="E652" s="1">
        <v>2006.0</v>
      </c>
      <c r="F652" s="1">
        <v>2.0</v>
      </c>
      <c r="G652" s="1">
        <v>0.105263157894737</v>
      </c>
      <c r="H652" s="1">
        <v>0.3</v>
      </c>
      <c r="I652" s="1" t="s">
        <v>3265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/>
      <c r="S652" s="1">
        <v>0.0</v>
      </c>
    </row>
    <row r="653" ht="15.75" customHeight="1">
      <c r="A653" s="1" t="s">
        <v>3266</v>
      </c>
      <c r="B653" s="1" t="s">
        <v>3267</v>
      </c>
      <c r="C653" s="1" t="s">
        <v>3268</v>
      </c>
      <c r="D653" s="1" t="s">
        <v>275</v>
      </c>
      <c r="E653" s="1">
        <v>2024.0</v>
      </c>
      <c r="F653" s="1">
        <v>1.0</v>
      </c>
      <c r="G653" s="1">
        <v>1.0</v>
      </c>
      <c r="H653" s="1">
        <v>1.08571428571429</v>
      </c>
      <c r="I653" s="1" t="s">
        <v>3269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/>
      <c r="S653" s="1">
        <v>0.0</v>
      </c>
    </row>
    <row r="654" ht="15.75" customHeight="1">
      <c r="A654" s="1" t="s">
        <v>3270</v>
      </c>
      <c r="B654" s="1" t="s">
        <v>1091</v>
      </c>
      <c r="C654" s="1" t="s">
        <v>3271</v>
      </c>
      <c r="D654" s="1" t="s">
        <v>211</v>
      </c>
      <c r="E654" s="1">
        <v>2023.0</v>
      </c>
      <c r="F654" s="1">
        <v>1.0</v>
      </c>
      <c r="G654" s="1">
        <v>0.5</v>
      </c>
      <c r="H654" s="1">
        <v>0.322175732217573</v>
      </c>
      <c r="I654" s="1" t="s">
        <v>3272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/>
      <c r="S654" s="1">
        <v>0.0</v>
      </c>
    </row>
    <row r="655" ht="15.75" customHeight="1">
      <c r="A655" s="1" t="s">
        <v>3273</v>
      </c>
      <c r="B655" s="1" t="s">
        <v>3274</v>
      </c>
      <c r="C655" s="1" t="s">
        <v>3275</v>
      </c>
      <c r="D655" s="1" t="s">
        <v>65</v>
      </c>
      <c r="E655" s="1">
        <v>2021.0</v>
      </c>
      <c r="F655" s="1">
        <v>1.0</v>
      </c>
      <c r="G655" s="1">
        <v>0.25</v>
      </c>
      <c r="H655" s="1">
        <v>0.0822784810126582</v>
      </c>
      <c r="I655" s="1" t="s">
        <v>3276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/>
      <c r="S655" s="1">
        <v>0.0</v>
      </c>
    </row>
    <row r="656" ht="15.75" customHeight="1">
      <c r="A656" s="1" t="s">
        <v>3277</v>
      </c>
      <c r="B656" s="1" t="s">
        <v>3278</v>
      </c>
      <c r="C656" s="1" t="s">
        <v>3279</v>
      </c>
      <c r="D656" s="1" t="s">
        <v>65</v>
      </c>
      <c r="E656" s="1">
        <v>2020.0</v>
      </c>
      <c r="F656" s="1">
        <v>1.0</v>
      </c>
      <c r="G656" s="1">
        <v>0.2</v>
      </c>
      <c r="H656" s="1">
        <v>0.0470588235294118</v>
      </c>
      <c r="I656" s="1" t="s">
        <v>3280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/>
      <c r="S656" s="1">
        <v>0.0</v>
      </c>
    </row>
    <row r="657" ht="15.75" customHeight="1">
      <c r="A657" s="1" t="s">
        <v>3281</v>
      </c>
      <c r="B657" s="1" t="s">
        <v>693</v>
      </c>
      <c r="C657" s="1" t="s">
        <v>3282</v>
      </c>
      <c r="D657" s="1" t="s">
        <v>116</v>
      </c>
      <c r="E657" s="1">
        <v>2018.0</v>
      </c>
      <c r="F657" s="1">
        <v>1.0</v>
      </c>
      <c r="G657" s="1">
        <v>0.142857142857143</v>
      </c>
      <c r="H657" s="1">
        <v>0.0782312925170068</v>
      </c>
      <c r="I657" s="1" t="s">
        <v>3283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/>
      <c r="S657" s="1">
        <v>0.0</v>
      </c>
    </row>
    <row r="658" ht="15.75" customHeight="1">
      <c r="A658" s="1" t="s">
        <v>3284</v>
      </c>
      <c r="B658" s="1" t="s">
        <v>3285</v>
      </c>
      <c r="C658" s="1" t="s">
        <v>3286</v>
      </c>
      <c r="D658" s="1" t="s">
        <v>116</v>
      </c>
      <c r="E658" s="1">
        <v>2018.0</v>
      </c>
      <c r="F658" s="1">
        <v>1.0</v>
      </c>
      <c r="G658" s="1">
        <v>0.142857142857143</v>
      </c>
      <c r="H658" s="1">
        <v>0.0782312925170068</v>
      </c>
      <c r="I658" s="1" t="s">
        <v>3287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/>
      <c r="S658" s="1">
        <v>0.0</v>
      </c>
    </row>
    <row r="659" ht="15.75" customHeight="1">
      <c r="A659" s="1" t="s">
        <v>3288</v>
      </c>
      <c r="B659" s="1" t="s">
        <v>1222</v>
      </c>
      <c r="C659" s="1" t="s">
        <v>3289</v>
      </c>
      <c r="D659" s="1" t="s">
        <v>161</v>
      </c>
      <c r="E659" s="1">
        <v>2017.0</v>
      </c>
      <c r="F659" s="1">
        <v>1.0</v>
      </c>
      <c r="G659" s="1">
        <v>0.125</v>
      </c>
      <c r="H659" s="1">
        <v>0.0785340314136126</v>
      </c>
      <c r="I659" s="1" t="s">
        <v>3290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/>
      <c r="S659" s="1">
        <v>0.0</v>
      </c>
    </row>
    <row r="660" ht="15.75" customHeight="1">
      <c r="A660" s="1" t="s">
        <v>3291</v>
      </c>
      <c r="B660" s="1" t="s">
        <v>3292</v>
      </c>
      <c r="C660" s="1" t="s">
        <v>3293</v>
      </c>
      <c r="D660" s="1" t="s">
        <v>62</v>
      </c>
      <c r="E660" s="1">
        <v>2024.0</v>
      </c>
      <c r="F660" s="1">
        <v>0.0</v>
      </c>
      <c r="G660" s="1">
        <v>0.0</v>
      </c>
      <c r="H660" s="1">
        <v>0.0</v>
      </c>
      <c r="I660" s="1" t="s">
        <v>3294</v>
      </c>
      <c r="J660" s="1">
        <v>0.230769230769231</v>
      </c>
      <c r="K660" s="1">
        <v>0.0</v>
      </c>
      <c r="L660" s="1">
        <v>0.288461538461538</v>
      </c>
      <c r="M660" s="1">
        <v>0.0</v>
      </c>
      <c r="N660" s="1">
        <v>0.480769230769231</v>
      </c>
      <c r="O660" s="1">
        <v>0.0</v>
      </c>
      <c r="P660" s="1">
        <v>0.0</v>
      </c>
      <c r="Q660" s="1">
        <v>0.0</v>
      </c>
      <c r="R660" s="1"/>
      <c r="S660" s="1">
        <v>0.0</v>
      </c>
    </row>
    <row r="661" ht="15.75" customHeight="1">
      <c r="A661" s="1" t="s">
        <v>3295</v>
      </c>
      <c r="B661" s="1" t="s">
        <v>3296</v>
      </c>
      <c r="C661" s="1" t="s">
        <v>3297</v>
      </c>
      <c r="D661" s="1" t="s">
        <v>62</v>
      </c>
      <c r="E661" s="1">
        <v>2023.0</v>
      </c>
      <c r="F661" s="1">
        <v>0.0</v>
      </c>
      <c r="G661" s="1">
        <v>0.0</v>
      </c>
      <c r="H661" s="1">
        <v>0.0</v>
      </c>
      <c r="I661" s="1" t="s">
        <v>3298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/>
      <c r="S661" s="1">
        <v>0.0</v>
      </c>
    </row>
    <row r="662" ht="15.75" customHeight="1">
      <c r="A662" s="1" t="s">
        <v>3299</v>
      </c>
      <c r="B662" s="1" t="s">
        <v>3300</v>
      </c>
      <c r="C662" s="1" t="s">
        <v>3301</v>
      </c>
      <c r="D662" s="1" t="s">
        <v>79</v>
      </c>
      <c r="E662" s="1">
        <v>2025.0</v>
      </c>
      <c r="F662" s="1">
        <v>0.0</v>
      </c>
      <c r="G662" s="1">
        <v>0.0</v>
      </c>
      <c r="H662" s="1">
        <v>0.0</v>
      </c>
      <c r="I662" s="1" t="s">
        <v>3302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/>
      <c r="S662" s="1">
        <v>0.0</v>
      </c>
    </row>
    <row r="663" ht="15.75" customHeight="1">
      <c r="A663" s="1" t="s">
        <v>3303</v>
      </c>
      <c r="B663" s="1" t="s">
        <v>3304</v>
      </c>
      <c r="C663" s="1" t="s">
        <v>3305</v>
      </c>
      <c r="D663" s="1" t="s">
        <v>118</v>
      </c>
      <c r="E663" s="1">
        <v>2022.0</v>
      </c>
      <c r="F663" s="1">
        <v>0.0</v>
      </c>
      <c r="G663" s="1">
        <v>0.0</v>
      </c>
      <c r="H663" s="1">
        <v>0.0</v>
      </c>
      <c r="I663" s="1" t="s">
        <v>3306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/>
      <c r="S663" s="1">
        <v>0.0</v>
      </c>
    </row>
    <row r="664" ht="15.75" customHeight="1">
      <c r="A664" s="1" t="s">
        <v>3307</v>
      </c>
      <c r="B664" s="1" t="s">
        <v>3308</v>
      </c>
      <c r="C664" s="1" t="s">
        <v>3309</v>
      </c>
      <c r="D664" s="1" t="s">
        <v>117</v>
      </c>
      <c r="E664" s="1">
        <v>2021.0</v>
      </c>
      <c r="F664" s="1">
        <v>0.0</v>
      </c>
      <c r="G664" s="1">
        <v>0.0</v>
      </c>
      <c r="H664" s="1">
        <v>0.0</v>
      </c>
      <c r="I664" s="1" t="s">
        <v>3310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/>
      <c r="S664" s="1">
        <v>0.0</v>
      </c>
    </row>
    <row r="665" ht="15.75" customHeight="1">
      <c r="A665" s="1" t="s">
        <v>3311</v>
      </c>
      <c r="B665" s="1" t="s">
        <v>3312</v>
      </c>
      <c r="C665" s="1" t="s">
        <v>3313</v>
      </c>
      <c r="D665" s="1" t="s">
        <v>261</v>
      </c>
      <c r="E665" s="1">
        <v>2019.0</v>
      </c>
      <c r="F665" s="1">
        <v>0.0</v>
      </c>
      <c r="G665" s="1">
        <v>0.0</v>
      </c>
      <c r="H665" s="1">
        <v>0.0</v>
      </c>
      <c r="I665" s="1" t="s">
        <v>3314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/>
      <c r="S665" s="1">
        <v>0.0</v>
      </c>
    </row>
    <row r="666" ht="15.75" customHeight="1">
      <c r="A666" s="1" t="s">
        <v>3315</v>
      </c>
      <c r="B666" s="1" t="s">
        <v>3316</v>
      </c>
      <c r="C666" s="1" t="s">
        <v>3317</v>
      </c>
      <c r="D666" s="1" t="s">
        <v>67</v>
      </c>
      <c r="E666" s="1">
        <v>2024.0</v>
      </c>
      <c r="F666" s="1">
        <v>0.0</v>
      </c>
      <c r="G666" s="1">
        <v>0.0</v>
      </c>
      <c r="H666" s="1">
        <v>0.0</v>
      </c>
      <c r="I666" s="1" t="s">
        <v>3318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/>
      <c r="S666" s="1">
        <v>0.0</v>
      </c>
    </row>
    <row r="667" ht="15.75" customHeight="1">
      <c r="A667" s="1" t="s">
        <v>3319</v>
      </c>
      <c r="B667" s="1" t="s">
        <v>3320</v>
      </c>
      <c r="C667" s="1" t="s">
        <v>3321</v>
      </c>
      <c r="D667" s="1" t="s">
        <v>309</v>
      </c>
      <c r="E667" s="1">
        <v>2024.0</v>
      </c>
      <c r="F667" s="1">
        <v>0.0</v>
      </c>
      <c r="G667" s="1">
        <v>0.0</v>
      </c>
      <c r="H667" s="1">
        <v>0.0</v>
      </c>
      <c r="I667" s="1" t="s">
        <v>3322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/>
      <c r="S667" s="1">
        <v>0.0</v>
      </c>
    </row>
    <row r="668" ht="15.75" customHeight="1">
      <c r="A668" s="1" t="s">
        <v>3323</v>
      </c>
      <c r="B668" s="1" t="s">
        <v>3324</v>
      </c>
      <c r="C668" s="1" t="s">
        <v>3325</v>
      </c>
      <c r="D668" s="1" t="s">
        <v>62</v>
      </c>
      <c r="E668" s="1">
        <v>2024.0</v>
      </c>
      <c r="F668" s="1">
        <v>0.0</v>
      </c>
      <c r="G668" s="1">
        <v>0.0</v>
      </c>
      <c r="H668" s="1">
        <v>0.0</v>
      </c>
      <c r="I668" s="1" t="s">
        <v>3326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/>
      <c r="S668" s="1">
        <v>0.0</v>
      </c>
    </row>
    <row r="669" ht="15.75" customHeight="1">
      <c r="A669" s="1" t="s">
        <v>3327</v>
      </c>
      <c r="B669" s="1" t="s">
        <v>3328</v>
      </c>
      <c r="C669" s="1" t="s">
        <v>3329</v>
      </c>
      <c r="D669" s="1" t="s">
        <v>98</v>
      </c>
      <c r="E669" s="1">
        <v>2024.0</v>
      </c>
      <c r="F669" s="1">
        <v>0.0</v>
      </c>
      <c r="G669" s="1">
        <v>0.0</v>
      </c>
      <c r="H669" s="1">
        <v>0.0</v>
      </c>
      <c r="I669" s="1" t="s">
        <v>3330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/>
      <c r="S669" s="1">
        <v>0.0</v>
      </c>
    </row>
    <row r="670" ht="15.75" customHeight="1">
      <c r="A670" s="1" t="s">
        <v>3331</v>
      </c>
      <c r="B670" s="1" t="s">
        <v>3332</v>
      </c>
      <c r="C670" s="1" t="s">
        <v>3333</v>
      </c>
      <c r="D670" s="1" t="s">
        <v>160</v>
      </c>
      <c r="E670" s="1">
        <v>2022.0</v>
      </c>
      <c r="F670" s="1">
        <v>0.0</v>
      </c>
      <c r="G670" s="1">
        <v>0.0</v>
      </c>
      <c r="H670" s="1">
        <v>0.0</v>
      </c>
      <c r="I670" s="1" t="s">
        <v>3334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/>
      <c r="S670" s="1">
        <v>0.0</v>
      </c>
    </row>
    <row r="671" ht="15.75" customHeight="1">
      <c r="A671" s="1" t="s">
        <v>3335</v>
      </c>
      <c r="B671" s="1" t="s">
        <v>3336</v>
      </c>
      <c r="C671" s="1" t="s">
        <v>3337</v>
      </c>
      <c r="D671" s="1" t="s">
        <v>62</v>
      </c>
      <c r="E671" s="1">
        <v>2024.0</v>
      </c>
      <c r="F671" s="1">
        <v>0.0</v>
      </c>
      <c r="G671" s="1">
        <v>0.0</v>
      </c>
      <c r="H671" s="1">
        <v>0.0</v>
      </c>
      <c r="I671" s="1" t="s">
        <v>3338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/>
      <c r="S671" s="1">
        <v>0.0</v>
      </c>
    </row>
    <row r="672" ht="15.75" customHeight="1">
      <c r="A672" s="1" t="s">
        <v>3339</v>
      </c>
      <c r="B672" s="1" t="s">
        <v>3340</v>
      </c>
      <c r="C672" s="1" t="s">
        <v>3341</v>
      </c>
      <c r="D672" s="1" t="s">
        <v>278</v>
      </c>
      <c r="E672" s="1">
        <v>2015.0</v>
      </c>
      <c r="F672" s="1">
        <v>0.0</v>
      </c>
      <c r="G672" s="1">
        <v>0.0</v>
      </c>
      <c r="H672" s="1">
        <v>0.0</v>
      </c>
      <c r="I672" s="1" t="s">
        <v>3342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/>
      <c r="S672" s="1">
        <v>0.0</v>
      </c>
    </row>
    <row r="673" ht="15.75" customHeight="1">
      <c r="A673" s="1" t="s">
        <v>3343</v>
      </c>
      <c r="B673" s="1" t="s">
        <v>3344</v>
      </c>
      <c r="C673" s="1" t="s">
        <v>3345</v>
      </c>
      <c r="D673" s="1" t="s">
        <v>64</v>
      </c>
      <c r="E673" s="1">
        <v>2023.0</v>
      </c>
      <c r="F673" s="1">
        <v>0.0</v>
      </c>
      <c r="G673" s="1">
        <v>0.0</v>
      </c>
      <c r="H673" s="1">
        <v>0.0</v>
      </c>
      <c r="I673" s="1" t="s">
        <v>3346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/>
      <c r="S673" s="1">
        <v>0.0</v>
      </c>
    </row>
    <row r="674" ht="15.75" customHeight="1">
      <c r="A674" s="1" t="s">
        <v>3347</v>
      </c>
      <c r="B674" s="1" t="s">
        <v>3348</v>
      </c>
      <c r="C674" s="1" t="s">
        <v>3349</v>
      </c>
      <c r="D674" s="1" t="s">
        <v>62</v>
      </c>
      <c r="E674" s="1">
        <v>2023.0</v>
      </c>
      <c r="F674" s="1">
        <v>0.0</v>
      </c>
      <c r="G674" s="1">
        <v>0.0</v>
      </c>
      <c r="H674" s="1">
        <v>0.0</v>
      </c>
      <c r="I674" s="1" t="s">
        <v>3350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/>
      <c r="S674" s="1">
        <v>0.0</v>
      </c>
    </row>
    <row r="675" ht="15.75" customHeight="1">
      <c r="A675" s="1" t="s">
        <v>3351</v>
      </c>
      <c r="B675" s="1" t="s">
        <v>3352</v>
      </c>
      <c r="C675" s="1" t="s">
        <v>3353</v>
      </c>
      <c r="D675" s="1" t="s">
        <v>137</v>
      </c>
      <c r="E675" s="1">
        <v>2024.0</v>
      </c>
      <c r="F675" s="1">
        <v>0.0</v>
      </c>
      <c r="G675" s="1">
        <v>0.0</v>
      </c>
      <c r="H675" s="1">
        <v>0.0</v>
      </c>
      <c r="I675" s="1" t="s">
        <v>3354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/>
      <c r="S675" s="1">
        <v>0.0</v>
      </c>
    </row>
    <row r="676" ht="15.75" customHeight="1">
      <c r="A676" s="1" t="s">
        <v>3355</v>
      </c>
      <c r="B676" s="1" t="s">
        <v>3356</v>
      </c>
      <c r="C676" s="1" t="s">
        <v>3357</v>
      </c>
      <c r="D676" s="1" t="s">
        <v>314</v>
      </c>
      <c r="E676" s="1">
        <v>2024.0</v>
      </c>
      <c r="F676" s="1">
        <v>0.0</v>
      </c>
      <c r="G676" s="1">
        <v>0.0</v>
      </c>
      <c r="H676" s="1">
        <v>0.0</v>
      </c>
      <c r="I676" s="1" t="s">
        <v>3358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/>
      <c r="S676" s="1">
        <v>0.0</v>
      </c>
    </row>
    <row r="677" ht="15.75" customHeight="1">
      <c r="A677" s="1" t="s">
        <v>3359</v>
      </c>
      <c r="B677" s="1" t="s">
        <v>3360</v>
      </c>
      <c r="C677" s="1" t="s">
        <v>3361</v>
      </c>
      <c r="D677" s="1" t="s">
        <v>68</v>
      </c>
      <c r="E677" s="1">
        <v>2024.0</v>
      </c>
      <c r="F677" s="1">
        <v>0.0</v>
      </c>
      <c r="G677" s="1">
        <v>0.0</v>
      </c>
      <c r="H677" s="1">
        <v>0.0</v>
      </c>
      <c r="I677" s="1" t="s">
        <v>3362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/>
      <c r="S677" s="1">
        <v>0.0</v>
      </c>
    </row>
    <row r="678" ht="15.75" customHeight="1">
      <c r="A678" s="1" t="s">
        <v>3363</v>
      </c>
      <c r="B678" s="1" t="s">
        <v>3364</v>
      </c>
      <c r="C678" s="1" t="s">
        <v>3365</v>
      </c>
      <c r="D678" s="1" t="s">
        <v>285</v>
      </c>
      <c r="E678" s="1">
        <v>2024.0</v>
      </c>
      <c r="F678" s="1">
        <v>0.0</v>
      </c>
      <c r="G678" s="1">
        <v>0.0</v>
      </c>
      <c r="H678" s="1">
        <v>0.0</v>
      </c>
      <c r="I678" s="1" t="s">
        <v>3366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/>
      <c r="S678" s="1">
        <v>0.0</v>
      </c>
    </row>
    <row r="679" ht="15.75" customHeight="1">
      <c r="A679" s="1" t="s">
        <v>3367</v>
      </c>
      <c r="B679" s="1" t="s">
        <v>3368</v>
      </c>
      <c r="C679" s="1" t="s">
        <v>3369</v>
      </c>
      <c r="D679" s="1" t="s">
        <v>71</v>
      </c>
      <c r="E679" s="1">
        <v>2024.0</v>
      </c>
      <c r="F679" s="1">
        <v>0.0</v>
      </c>
      <c r="G679" s="1">
        <v>0.0</v>
      </c>
      <c r="H679" s="1">
        <v>0.0</v>
      </c>
      <c r="I679" s="1" t="s">
        <v>3370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/>
      <c r="S679" s="1">
        <v>0.0</v>
      </c>
    </row>
    <row r="680" ht="15.75" customHeight="1">
      <c r="A680" s="1" t="s">
        <v>3371</v>
      </c>
      <c r="B680" s="1" t="s">
        <v>3372</v>
      </c>
      <c r="C680" s="1" t="s">
        <v>3373</v>
      </c>
      <c r="D680" s="1" t="s">
        <v>164</v>
      </c>
      <c r="E680" s="1">
        <v>2024.0</v>
      </c>
      <c r="F680" s="1">
        <v>0.0</v>
      </c>
      <c r="G680" s="1">
        <v>0.0</v>
      </c>
      <c r="H680" s="1">
        <v>0.0</v>
      </c>
      <c r="I680" s="1" t="s">
        <v>3374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/>
      <c r="S680" s="1">
        <v>0.0</v>
      </c>
    </row>
    <row r="681" ht="15.75" customHeight="1">
      <c r="A681" s="1" t="s">
        <v>3375</v>
      </c>
      <c r="B681" s="1" t="s">
        <v>3376</v>
      </c>
      <c r="C681" s="1" t="s">
        <v>3377</v>
      </c>
      <c r="D681" s="1" t="s">
        <v>68</v>
      </c>
      <c r="E681" s="1">
        <v>2023.0</v>
      </c>
      <c r="F681" s="1">
        <v>0.0</v>
      </c>
      <c r="G681" s="1">
        <v>0.0</v>
      </c>
      <c r="H681" s="1">
        <v>0.0</v>
      </c>
      <c r="I681" s="1" t="s">
        <v>3378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/>
      <c r="S681" s="1">
        <v>0.0</v>
      </c>
    </row>
    <row r="682" ht="15.75" customHeight="1">
      <c r="A682" s="1" t="s">
        <v>3379</v>
      </c>
      <c r="B682" s="1" t="s">
        <v>3380</v>
      </c>
      <c r="C682" s="1" t="s">
        <v>3381</v>
      </c>
      <c r="D682" s="1" t="s">
        <v>68</v>
      </c>
      <c r="E682" s="1">
        <v>2023.0</v>
      </c>
      <c r="F682" s="1">
        <v>0.0</v>
      </c>
      <c r="G682" s="1">
        <v>0.0</v>
      </c>
      <c r="H682" s="1">
        <v>0.0</v>
      </c>
      <c r="I682" s="1" t="s">
        <v>3382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/>
      <c r="S682" s="1">
        <v>0.0</v>
      </c>
    </row>
    <row r="683" ht="15.75" customHeight="1">
      <c r="A683" s="1" t="s">
        <v>3383</v>
      </c>
      <c r="B683" s="1" t="s">
        <v>3384</v>
      </c>
      <c r="C683" s="1" t="s">
        <v>3385</v>
      </c>
      <c r="D683" s="1" t="s">
        <v>65</v>
      </c>
      <c r="E683" s="1">
        <v>2023.0</v>
      </c>
      <c r="F683" s="1">
        <v>0.0</v>
      </c>
      <c r="G683" s="1">
        <v>0.0</v>
      </c>
      <c r="H683" s="1">
        <v>0.0</v>
      </c>
      <c r="I683" s="1" t="s">
        <v>3386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/>
      <c r="S683" s="1">
        <v>0.0</v>
      </c>
    </row>
    <row r="684" ht="15.75" customHeight="1">
      <c r="A684" s="1" t="s">
        <v>3387</v>
      </c>
      <c r="B684" s="1" t="s">
        <v>3388</v>
      </c>
      <c r="C684" s="1" t="s">
        <v>3389</v>
      </c>
      <c r="D684" s="1" t="s">
        <v>134</v>
      </c>
      <c r="E684" s="1">
        <v>2022.0</v>
      </c>
      <c r="F684" s="1">
        <v>0.0</v>
      </c>
      <c r="G684" s="1">
        <v>0.0</v>
      </c>
      <c r="H684" s="1">
        <v>0.0</v>
      </c>
      <c r="I684" s="1" t="s">
        <v>3390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/>
      <c r="S684" s="1">
        <v>0.0</v>
      </c>
    </row>
    <row r="685" ht="15.75" customHeight="1">
      <c r="A685" s="1" t="s">
        <v>3391</v>
      </c>
      <c r="B685" s="1" t="s">
        <v>3392</v>
      </c>
      <c r="C685" s="1" t="s">
        <v>3393</v>
      </c>
      <c r="D685" s="1" t="s">
        <v>296</v>
      </c>
      <c r="E685" s="1">
        <v>2022.0</v>
      </c>
      <c r="F685" s="1">
        <v>0.0</v>
      </c>
      <c r="G685" s="1">
        <v>0.0</v>
      </c>
      <c r="H685" s="1">
        <v>0.0</v>
      </c>
      <c r="I685" s="1" t="s">
        <v>3394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/>
      <c r="S685" s="1">
        <v>0.0</v>
      </c>
    </row>
    <row r="686" ht="15.75" customHeight="1">
      <c r="A686" s="1" t="s">
        <v>3395</v>
      </c>
      <c r="B686" s="1" t="s">
        <v>3396</v>
      </c>
      <c r="C686" s="1" t="s">
        <v>3397</v>
      </c>
      <c r="D686" s="1" t="s">
        <v>122</v>
      </c>
      <c r="E686" s="1">
        <v>2022.0</v>
      </c>
      <c r="F686" s="1">
        <v>0.0</v>
      </c>
      <c r="G686" s="1">
        <v>0.0</v>
      </c>
      <c r="H686" s="1">
        <v>0.0</v>
      </c>
      <c r="I686" s="1" t="s">
        <v>3398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/>
      <c r="S686" s="1">
        <v>0.0</v>
      </c>
    </row>
    <row r="687" ht="15.75" customHeight="1">
      <c r="A687" s="1" t="s">
        <v>3399</v>
      </c>
      <c r="B687" s="1" t="s">
        <v>3400</v>
      </c>
      <c r="C687" s="1" t="s">
        <v>3401</v>
      </c>
      <c r="D687" s="1" t="s">
        <v>65</v>
      </c>
      <c r="E687" s="1">
        <v>2021.0</v>
      </c>
      <c r="F687" s="1">
        <v>0.0</v>
      </c>
      <c r="G687" s="1">
        <v>0.0</v>
      </c>
      <c r="H687" s="1">
        <v>0.0</v>
      </c>
      <c r="I687" s="1" t="s">
        <v>3402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/>
      <c r="S687" s="1">
        <v>0.0</v>
      </c>
    </row>
    <row r="688" ht="15.75" customHeight="1">
      <c r="A688" s="1" t="s">
        <v>3403</v>
      </c>
      <c r="B688" s="1" t="s">
        <v>3404</v>
      </c>
      <c r="C688" s="1" t="s">
        <v>3405</v>
      </c>
      <c r="D688" s="1" t="s">
        <v>65</v>
      </c>
      <c r="E688" s="1">
        <v>2021.0</v>
      </c>
      <c r="F688" s="1">
        <v>0.0</v>
      </c>
      <c r="G688" s="1">
        <v>0.0</v>
      </c>
      <c r="H688" s="1">
        <v>0.0</v>
      </c>
      <c r="I688" s="1" t="s">
        <v>3406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/>
      <c r="S688" s="1">
        <v>0.0</v>
      </c>
    </row>
    <row r="689" ht="15.75" customHeight="1">
      <c r="A689" s="1" t="s">
        <v>3407</v>
      </c>
      <c r="B689" s="1" t="s">
        <v>3408</v>
      </c>
      <c r="C689" s="1" t="s">
        <v>3409</v>
      </c>
      <c r="D689" s="1" t="s">
        <v>78</v>
      </c>
      <c r="E689" s="1">
        <v>2020.0</v>
      </c>
      <c r="F689" s="1">
        <v>0.0</v>
      </c>
      <c r="G689" s="1">
        <v>0.0</v>
      </c>
      <c r="H689" s="1">
        <v>0.0</v>
      </c>
      <c r="I689" s="1" t="s">
        <v>3410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/>
      <c r="S689" s="1">
        <v>0.0</v>
      </c>
    </row>
    <row r="690" ht="15.75" customHeight="1">
      <c r="A690" s="1" t="s">
        <v>3411</v>
      </c>
      <c r="B690" s="1" t="s">
        <v>3412</v>
      </c>
      <c r="C690" s="1" t="s">
        <v>3413</v>
      </c>
      <c r="D690" s="1" t="s">
        <v>65</v>
      </c>
      <c r="E690" s="1">
        <v>2018.0</v>
      </c>
      <c r="F690" s="1">
        <v>0.0</v>
      </c>
      <c r="G690" s="1">
        <v>0.0</v>
      </c>
      <c r="H690" s="1">
        <v>0.0</v>
      </c>
      <c r="I690" s="1" t="s">
        <v>3414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/>
      <c r="S690" s="1">
        <v>0.0</v>
      </c>
    </row>
    <row r="691" ht="15.75" customHeight="1">
      <c r="A691" s="1" t="s">
        <v>3415</v>
      </c>
      <c r="B691" s="1" t="s">
        <v>3416</v>
      </c>
      <c r="C691" s="1" t="s">
        <v>3417</v>
      </c>
      <c r="D691" s="1" t="s">
        <v>94</v>
      </c>
      <c r="E691" s="1">
        <v>2017.0</v>
      </c>
      <c r="F691" s="1">
        <v>0.0</v>
      </c>
      <c r="G691" s="1">
        <v>0.0</v>
      </c>
      <c r="H691" s="1">
        <v>0.0</v>
      </c>
      <c r="I691" s="1" t="s">
        <v>3418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/>
      <c r="S691" s="1">
        <v>0.0</v>
      </c>
    </row>
    <row r="692" ht="15.75" customHeight="1">
      <c r="A692" s="1" t="s">
        <v>3419</v>
      </c>
      <c r="B692" s="1" t="s">
        <v>3420</v>
      </c>
      <c r="C692" s="1" t="s">
        <v>3421</v>
      </c>
      <c r="D692" s="1" t="s">
        <v>94</v>
      </c>
      <c r="E692" s="1">
        <v>2017.0</v>
      </c>
      <c r="F692" s="1">
        <v>0.0</v>
      </c>
      <c r="G692" s="1">
        <v>0.0</v>
      </c>
      <c r="H692" s="1">
        <v>0.0</v>
      </c>
      <c r="I692" s="1" t="s">
        <v>3422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/>
      <c r="S692" s="1">
        <v>0.0</v>
      </c>
    </row>
    <row r="693" ht="15.75" customHeight="1">
      <c r="A693" s="1" t="s">
        <v>3423</v>
      </c>
      <c r="B693" s="1" t="s">
        <v>2235</v>
      </c>
      <c r="C693" s="1" t="s">
        <v>3424</v>
      </c>
      <c r="D693" s="1" t="s">
        <v>311</v>
      </c>
      <c r="E693" s="1">
        <v>2017.0</v>
      </c>
      <c r="F693" s="1">
        <v>0.0</v>
      </c>
      <c r="G693" s="1">
        <v>0.0</v>
      </c>
      <c r="H693" s="1">
        <v>0.0</v>
      </c>
      <c r="I693" s="1" t="s">
        <v>3425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/>
      <c r="S693" s="1">
        <v>0.0</v>
      </c>
    </row>
    <row r="694" ht="15.75" customHeight="1">
      <c r="A694" s="1" t="s">
        <v>3426</v>
      </c>
      <c r="B694" s="1" t="s">
        <v>3427</v>
      </c>
      <c r="C694" s="1" t="s">
        <v>3428</v>
      </c>
      <c r="D694" s="1" t="s">
        <v>188</v>
      </c>
      <c r="E694" s="1">
        <v>2015.0</v>
      </c>
      <c r="F694" s="1">
        <v>0.0</v>
      </c>
      <c r="G694" s="1">
        <v>0.0</v>
      </c>
      <c r="H694" s="1">
        <v>0.0</v>
      </c>
      <c r="I694" s="1" t="s">
        <v>3429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/>
      <c r="S694" s="1">
        <v>0.0</v>
      </c>
    </row>
    <row r="695" ht="15.75" customHeight="1">
      <c r="A695" s="1" t="s">
        <v>3430</v>
      </c>
      <c r="B695" s="1" t="s">
        <v>3431</v>
      </c>
      <c r="C695" s="1" t="s">
        <v>3432</v>
      </c>
      <c r="D695" s="1" t="s">
        <v>101</v>
      </c>
      <c r="E695" s="1">
        <v>2012.0</v>
      </c>
      <c r="F695" s="1">
        <v>0.0</v>
      </c>
      <c r="G695" s="1">
        <v>0.0</v>
      </c>
      <c r="H695" s="1">
        <v>0.0</v>
      </c>
      <c r="I695" s="1" t="s">
        <v>3433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/>
      <c r="S695" s="1">
        <v>0.0</v>
      </c>
    </row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6" t="s">
        <v>3434</v>
      </c>
      <c r="B1" s="16" t="s">
        <v>54</v>
      </c>
    </row>
    <row r="2">
      <c r="A2" s="15" t="s">
        <v>3435</v>
      </c>
      <c r="B2" s="15">
        <v>21.0</v>
      </c>
    </row>
    <row r="3">
      <c r="A3" s="15" t="s">
        <v>3436</v>
      </c>
      <c r="B3" s="15">
        <v>14.0</v>
      </c>
    </row>
    <row r="4">
      <c r="A4" s="15" t="s">
        <v>3437</v>
      </c>
      <c r="B4" s="15">
        <v>9.0</v>
      </c>
    </row>
    <row r="5">
      <c r="A5" s="15" t="s">
        <v>3438</v>
      </c>
      <c r="B5" s="15">
        <v>8.0</v>
      </c>
    </row>
    <row r="6">
      <c r="A6" s="15" t="s">
        <v>3439</v>
      </c>
      <c r="B6" s="15">
        <v>8.0</v>
      </c>
    </row>
    <row r="7">
      <c r="A7" s="15" t="s">
        <v>3440</v>
      </c>
      <c r="B7" s="15">
        <v>7.0</v>
      </c>
    </row>
    <row r="8">
      <c r="A8" s="15" t="s">
        <v>3441</v>
      </c>
      <c r="B8" s="15">
        <v>7.0</v>
      </c>
    </row>
    <row r="9">
      <c r="A9" s="15" t="s">
        <v>3442</v>
      </c>
      <c r="B9" s="15">
        <v>6.0</v>
      </c>
    </row>
    <row r="10">
      <c r="A10" s="15" t="s">
        <v>3443</v>
      </c>
      <c r="B10" s="15">
        <v>6.0</v>
      </c>
    </row>
    <row r="11">
      <c r="A11" s="15" t="s">
        <v>3444</v>
      </c>
      <c r="B11" s="15">
        <v>6.0</v>
      </c>
    </row>
    <row r="12">
      <c r="A12" s="17" t="s">
        <v>3445</v>
      </c>
      <c r="B12" s="17">
        <v>6.0</v>
      </c>
    </row>
    <row r="13">
      <c r="A13" s="18" t="s">
        <v>3446</v>
      </c>
      <c r="B13" s="18">
        <v>5.0</v>
      </c>
    </row>
    <row r="14">
      <c r="A14" s="17" t="s">
        <v>3447</v>
      </c>
      <c r="B14" s="17">
        <v>5.0</v>
      </c>
    </row>
    <row r="15">
      <c r="A15" s="18" t="s">
        <v>3448</v>
      </c>
      <c r="B15" s="18">
        <v>5.0</v>
      </c>
    </row>
    <row r="16">
      <c r="A16" s="17" t="s">
        <v>3449</v>
      </c>
      <c r="B16" s="17">
        <v>5.0</v>
      </c>
    </row>
    <row r="17">
      <c r="A17" s="18" t="s">
        <v>3450</v>
      </c>
      <c r="B17" s="18">
        <v>5.0</v>
      </c>
    </row>
    <row r="18">
      <c r="A18" s="17" t="s">
        <v>3451</v>
      </c>
      <c r="B18" s="17">
        <v>5.0</v>
      </c>
    </row>
    <row r="19">
      <c r="A19" s="18" t="s">
        <v>3452</v>
      </c>
      <c r="B19" s="18">
        <v>5.0</v>
      </c>
    </row>
    <row r="20">
      <c r="A20" s="17" t="s">
        <v>3453</v>
      </c>
      <c r="B20" s="17">
        <v>5.0</v>
      </c>
    </row>
    <row r="21" ht="15.75" customHeight="1">
      <c r="A21" s="18" t="s">
        <v>3454</v>
      </c>
      <c r="B21" s="18">
        <v>5.0</v>
      </c>
    </row>
    <row r="22" ht="15.75" customHeight="1">
      <c r="A22" s="17" t="s">
        <v>3455</v>
      </c>
      <c r="B22" s="17">
        <v>5.0</v>
      </c>
    </row>
    <row r="23" ht="15.75" customHeight="1">
      <c r="A23" s="18" t="s">
        <v>3456</v>
      </c>
      <c r="B23" s="18">
        <v>5.0</v>
      </c>
    </row>
    <row r="24" ht="15.75" customHeight="1">
      <c r="A24" s="17" t="s">
        <v>3457</v>
      </c>
      <c r="B24" s="17">
        <v>4.0</v>
      </c>
    </row>
    <row r="25" ht="15.75" customHeight="1">
      <c r="A25" s="18" t="s">
        <v>3458</v>
      </c>
      <c r="B25" s="18">
        <v>4.0</v>
      </c>
    </row>
    <row r="26" ht="15.75" customHeight="1">
      <c r="A26" s="17" t="s">
        <v>3459</v>
      </c>
      <c r="B26" s="17">
        <v>4.0</v>
      </c>
    </row>
    <row r="27" ht="15.75" customHeight="1">
      <c r="A27" s="18" t="s">
        <v>3460</v>
      </c>
      <c r="B27" s="18">
        <v>4.0</v>
      </c>
    </row>
    <row r="28" ht="15.75" customHeight="1">
      <c r="A28" s="17" t="s">
        <v>3461</v>
      </c>
      <c r="B28" s="17">
        <v>4.0</v>
      </c>
    </row>
    <row r="29" ht="15.75" customHeight="1">
      <c r="A29" s="18" t="s">
        <v>3462</v>
      </c>
      <c r="B29" s="18">
        <v>4.0</v>
      </c>
    </row>
    <row r="30" ht="15.75" customHeight="1">
      <c r="A30" s="17" t="s">
        <v>3463</v>
      </c>
      <c r="B30" s="17">
        <v>4.0</v>
      </c>
    </row>
    <row r="31" ht="15.75" customHeight="1">
      <c r="A31" s="18" t="s">
        <v>3464</v>
      </c>
      <c r="B31" s="18">
        <v>4.0</v>
      </c>
    </row>
    <row r="32" ht="15.75" customHeight="1">
      <c r="A32" s="17" t="s">
        <v>3465</v>
      </c>
      <c r="B32" s="17">
        <v>4.0</v>
      </c>
    </row>
    <row r="33" ht="15.75" customHeight="1">
      <c r="A33" s="18" t="s">
        <v>3466</v>
      </c>
      <c r="B33" s="18">
        <v>4.0</v>
      </c>
    </row>
    <row r="34" ht="15.75" customHeight="1">
      <c r="A34" s="17" t="s">
        <v>3467</v>
      </c>
      <c r="B34" s="17">
        <v>4.0</v>
      </c>
    </row>
    <row r="35" ht="15.75" customHeight="1">
      <c r="A35" s="18" t="s">
        <v>3468</v>
      </c>
      <c r="B35" s="18">
        <v>4.0</v>
      </c>
    </row>
    <row r="36" ht="15.75" customHeight="1">
      <c r="A36" s="17" t="s">
        <v>3469</v>
      </c>
      <c r="B36" s="17">
        <v>4.0</v>
      </c>
    </row>
    <row r="37" ht="15.75" customHeight="1">
      <c r="A37" s="18" t="s">
        <v>3470</v>
      </c>
      <c r="B37" s="18">
        <v>4.0</v>
      </c>
    </row>
    <row r="38" ht="15.75" customHeight="1">
      <c r="A38" s="17" t="s">
        <v>3471</v>
      </c>
      <c r="B38" s="17">
        <v>4.0</v>
      </c>
    </row>
    <row r="39" ht="15.75" customHeight="1">
      <c r="A39" s="18" t="s">
        <v>3472</v>
      </c>
      <c r="B39" s="18">
        <v>4.0</v>
      </c>
    </row>
    <row r="40" ht="15.75" customHeight="1">
      <c r="A40" s="17" t="s">
        <v>3473</v>
      </c>
      <c r="B40" s="17">
        <v>4.0</v>
      </c>
    </row>
    <row r="41" ht="15.75" customHeight="1">
      <c r="A41" s="18" t="s">
        <v>3474</v>
      </c>
      <c r="B41" s="18">
        <v>4.0</v>
      </c>
    </row>
    <row r="42" ht="15.75" customHeight="1">
      <c r="A42" s="17" t="s">
        <v>3475</v>
      </c>
      <c r="B42" s="17">
        <v>4.0</v>
      </c>
    </row>
    <row r="43" ht="15.75" customHeight="1">
      <c r="A43" s="18" t="s">
        <v>3476</v>
      </c>
      <c r="B43" s="18">
        <v>4.0</v>
      </c>
    </row>
    <row r="44" ht="15.75" customHeight="1">
      <c r="A44" s="17" t="s">
        <v>3477</v>
      </c>
      <c r="B44" s="17">
        <v>3.0</v>
      </c>
    </row>
    <row r="45" ht="15.75" customHeight="1">
      <c r="A45" s="18" t="s">
        <v>3478</v>
      </c>
      <c r="B45" s="18">
        <v>3.0</v>
      </c>
    </row>
    <row r="46" ht="15.75" customHeight="1">
      <c r="A46" s="17" t="s">
        <v>3479</v>
      </c>
      <c r="B46" s="17">
        <v>3.0</v>
      </c>
    </row>
    <row r="47" ht="15.75" customHeight="1">
      <c r="A47" s="18" t="s">
        <v>3480</v>
      </c>
      <c r="B47" s="18">
        <v>3.0</v>
      </c>
    </row>
    <row r="48" ht="15.75" customHeight="1">
      <c r="A48" s="17" t="s">
        <v>3481</v>
      </c>
      <c r="B48" s="17">
        <v>3.0</v>
      </c>
    </row>
    <row r="49" ht="15.75" customHeight="1">
      <c r="A49" s="18" t="s">
        <v>3482</v>
      </c>
      <c r="B49" s="18">
        <v>3.0</v>
      </c>
    </row>
    <row r="50" ht="15.75" customHeight="1">
      <c r="A50" s="17" t="s">
        <v>3483</v>
      </c>
      <c r="B50" s="17">
        <v>3.0</v>
      </c>
    </row>
    <row r="51" ht="15.75" customHeight="1">
      <c r="A51" s="18" t="s">
        <v>3484</v>
      </c>
      <c r="B51" s="18">
        <v>3.0</v>
      </c>
    </row>
    <row r="52" ht="15.75" customHeight="1">
      <c r="A52" s="17" t="s">
        <v>3485</v>
      </c>
      <c r="B52" s="17">
        <v>3.0</v>
      </c>
    </row>
    <row r="53" ht="15.75" customHeight="1">
      <c r="A53" s="18" t="s">
        <v>3486</v>
      </c>
      <c r="B53" s="18">
        <v>3.0</v>
      </c>
    </row>
    <row r="54" ht="15.75" customHeight="1">
      <c r="A54" s="17" t="s">
        <v>3487</v>
      </c>
      <c r="B54" s="17">
        <v>3.0</v>
      </c>
    </row>
    <row r="55" ht="15.75" customHeight="1">
      <c r="A55" s="18" t="s">
        <v>3488</v>
      </c>
      <c r="B55" s="18">
        <v>3.0</v>
      </c>
    </row>
    <row r="56" ht="15.75" customHeight="1">
      <c r="A56" s="17" t="s">
        <v>3489</v>
      </c>
      <c r="B56" s="17">
        <v>3.0</v>
      </c>
    </row>
    <row r="57" ht="15.75" customHeight="1">
      <c r="A57" s="18" t="s">
        <v>3490</v>
      </c>
      <c r="B57" s="18">
        <v>3.0</v>
      </c>
    </row>
    <row r="58" ht="15.75" customHeight="1">
      <c r="A58" s="17" t="s">
        <v>3491</v>
      </c>
      <c r="B58" s="17">
        <v>3.0</v>
      </c>
    </row>
    <row r="59" ht="15.75" customHeight="1">
      <c r="A59" s="18" t="s">
        <v>3492</v>
      </c>
      <c r="B59" s="18">
        <v>3.0</v>
      </c>
    </row>
    <row r="60" ht="15.75" customHeight="1">
      <c r="A60" s="17" t="s">
        <v>3493</v>
      </c>
      <c r="B60" s="17">
        <v>3.0</v>
      </c>
    </row>
    <row r="61" ht="15.75" customHeight="1">
      <c r="A61" s="18" t="s">
        <v>3494</v>
      </c>
      <c r="B61" s="18">
        <v>3.0</v>
      </c>
    </row>
    <row r="62" ht="15.75" customHeight="1">
      <c r="A62" s="17" t="s">
        <v>3495</v>
      </c>
      <c r="B62" s="17">
        <v>3.0</v>
      </c>
    </row>
    <row r="63" ht="15.75" customHeight="1">
      <c r="A63" s="18" t="s">
        <v>3496</v>
      </c>
      <c r="B63" s="18">
        <v>3.0</v>
      </c>
    </row>
    <row r="64" ht="15.75" customHeight="1">
      <c r="A64" s="17" t="s">
        <v>3497</v>
      </c>
      <c r="B64" s="17">
        <v>3.0</v>
      </c>
    </row>
    <row r="65" ht="15.75" customHeight="1">
      <c r="A65" s="18" t="s">
        <v>3498</v>
      </c>
      <c r="B65" s="18">
        <v>3.0</v>
      </c>
    </row>
    <row r="66" ht="15.75" customHeight="1">
      <c r="A66" s="17" t="s">
        <v>3499</v>
      </c>
      <c r="B66" s="17">
        <v>3.0</v>
      </c>
    </row>
    <row r="67" ht="15.75" customHeight="1">
      <c r="A67" s="18" t="s">
        <v>3500</v>
      </c>
      <c r="B67" s="18">
        <v>3.0</v>
      </c>
    </row>
    <row r="68" ht="15.75" customHeight="1">
      <c r="A68" s="17" t="s">
        <v>3501</v>
      </c>
      <c r="B68" s="17">
        <v>3.0</v>
      </c>
    </row>
    <row r="69" ht="15.75" customHeight="1">
      <c r="A69" s="18" t="s">
        <v>3502</v>
      </c>
      <c r="B69" s="18">
        <v>3.0</v>
      </c>
    </row>
    <row r="70" ht="15.75" customHeight="1">
      <c r="A70" s="17" t="s">
        <v>3503</v>
      </c>
      <c r="B70" s="17">
        <v>3.0</v>
      </c>
    </row>
    <row r="71" ht="15.75" customHeight="1">
      <c r="A71" s="18" t="s">
        <v>3504</v>
      </c>
      <c r="B71" s="18">
        <v>3.0</v>
      </c>
    </row>
    <row r="72" ht="15.75" customHeight="1">
      <c r="A72" s="17" t="s">
        <v>3505</v>
      </c>
      <c r="B72" s="17">
        <v>3.0</v>
      </c>
    </row>
    <row r="73" ht="15.75" customHeight="1">
      <c r="A73" s="18" t="s">
        <v>3506</v>
      </c>
      <c r="B73" s="18">
        <v>3.0</v>
      </c>
    </row>
    <row r="74" ht="15.75" customHeight="1">
      <c r="A74" s="17" t="s">
        <v>3507</v>
      </c>
      <c r="B74" s="17">
        <v>3.0</v>
      </c>
    </row>
    <row r="75" ht="15.75" customHeight="1">
      <c r="A75" s="18" t="s">
        <v>3508</v>
      </c>
      <c r="B75" s="18">
        <v>3.0</v>
      </c>
    </row>
    <row r="76" ht="15.75" customHeight="1">
      <c r="A76" s="17" t="s">
        <v>3509</v>
      </c>
      <c r="B76" s="17">
        <v>3.0</v>
      </c>
    </row>
    <row r="77" ht="15.75" customHeight="1">
      <c r="A77" s="18" t="s">
        <v>3510</v>
      </c>
      <c r="B77" s="18">
        <v>3.0</v>
      </c>
    </row>
    <row r="78" ht="15.75" customHeight="1">
      <c r="A78" s="17" t="s">
        <v>3511</v>
      </c>
      <c r="B78" s="17">
        <v>3.0</v>
      </c>
    </row>
    <row r="79" ht="15.75" customHeight="1">
      <c r="A79" s="18" t="s">
        <v>3512</v>
      </c>
      <c r="B79" s="18">
        <v>3.0</v>
      </c>
    </row>
    <row r="80" ht="15.75" customHeight="1">
      <c r="A80" s="17" t="s">
        <v>3513</v>
      </c>
      <c r="B80" s="17">
        <v>2.0</v>
      </c>
    </row>
    <row r="81" ht="15.75" customHeight="1">
      <c r="A81" s="18" t="s">
        <v>3514</v>
      </c>
      <c r="B81" s="18">
        <v>2.0</v>
      </c>
    </row>
    <row r="82" ht="15.75" customHeight="1">
      <c r="A82" s="17" t="s">
        <v>3515</v>
      </c>
      <c r="B82" s="17">
        <v>2.0</v>
      </c>
    </row>
    <row r="83" ht="15.75" customHeight="1">
      <c r="A83" s="18" t="s">
        <v>3516</v>
      </c>
      <c r="B83" s="18">
        <v>2.0</v>
      </c>
    </row>
    <row r="84" ht="15.75" customHeight="1">
      <c r="A84" s="17" t="s">
        <v>3517</v>
      </c>
      <c r="B84" s="17">
        <v>2.0</v>
      </c>
    </row>
    <row r="85" ht="15.75" customHeight="1">
      <c r="A85" s="18" t="s">
        <v>3518</v>
      </c>
      <c r="B85" s="18">
        <v>2.0</v>
      </c>
    </row>
    <row r="86" ht="15.75" customHeight="1">
      <c r="A86" s="17" t="s">
        <v>3519</v>
      </c>
      <c r="B86" s="17">
        <v>2.0</v>
      </c>
    </row>
    <row r="87" ht="15.75" customHeight="1">
      <c r="A87" s="18" t="s">
        <v>3520</v>
      </c>
      <c r="B87" s="18">
        <v>2.0</v>
      </c>
    </row>
    <row r="88" ht="15.75" customHeight="1">
      <c r="A88" s="17" t="s">
        <v>3521</v>
      </c>
      <c r="B88" s="17">
        <v>2.0</v>
      </c>
    </row>
    <row r="89" ht="15.75" customHeight="1">
      <c r="A89" s="18" t="s">
        <v>3522</v>
      </c>
      <c r="B89" s="18">
        <v>2.0</v>
      </c>
    </row>
    <row r="90" ht="15.75" customHeight="1">
      <c r="A90" s="17" t="s">
        <v>3523</v>
      </c>
      <c r="B90" s="17">
        <v>2.0</v>
      </c>
    </row>
    <row r="91" ht="15.75" customHeight="1">
      <c r="A91" s="18" t="s">
        <v>3524</v>
      </c>
      <c r="B91" s="18">
        <v>2.0</v>
      </c>
    </row>
    <row r="92" ht="15.75" customHeight="1">
      <c r="A92" s="17" t="s">
        <v>3525</v>
      </c>
      <c r="B92" s="17">
        <v>2.0</v>
      </c>
    </row>
    <row r="93" ht="15.75" customHeight="1">
      <c r="A93" s="18" t="s">
        <v>3526</v>
      </c>
      <c r="B93" s="18">
        <v>2.0</v>
      </c>
    </row>
    <row r="94" ht="15.75" customHeight="1">
      <c r="A94" s="17" t="s">
        <v>3527</v>
      </c>
      <c r="B94" s="17">
        <v>2.0</v>
      </c>
    </row>
    <row r="95" ht="15.75" customHeight="1">
      <c r="A95" s="18" t="s">
        <v>3528</v>
      </c>
      <c r="B95" s="18">
        <v>2.0</v>
      </c>
    </row>
    <row r="96" ht="15.75" customHeight="1">
      <c r="A96" s="17" t="s">
        <v>3529</v>
      </c>
      <c r="B96" s="17">
        <v>2.0</v>
      </c>
    </row>
    <row r="97" ht="15.75" customHeight="1">
      <c r="A97" s="18" t="s">
        <v>3530</v>
      </c>
      <c r="B97" s="18">
        <v>2.0</v>
      </c>
    </row>
    <row r="98" ht="15.75" customHeight="1">
      <c r="A98" s="17" t="s">
        <v>3531</v>
      </c>
      <c r="B98" s="17">
        <v>2.0</v>
      </c>
    </row>
    <row r="99" ht="15.75" customHeight="1">
      <c r="A99" s="18" t="s">
        <v>3532</v>
      </c>
      <c r="B99" s="18">
        <v>2.0</v>
      </c>
    </row>
    <row r="100" ht="15.75" customHeight="1">
      <c r="A100" s="17" t="s">
        <v>3533</v>
      </c>
      <c r="B100" s="17">
        <v>2.0</v>
      </c>
    </row>
    <row r="101" ht="15.75" customHeight="1">
      <c r="A101" s="18" t="s">
        <v>3534</v>
      </c>
      <c r="B101" s="18">
        <v>2.0</v>
      </c>
    </row>
    <row r="102" ht="15.75" customHeight="1">
      <c r="A102" s="17" t="s">
        <v>3535</v>
      </c>
      <c r="B102" s="17">
        <v>2.0</v>
      </c>
    </row>
    <row r="103" ht="15.75" customHeight="1">
      <c r="A103" s="18" t="s">
        <v>3536</v>
      </c>
      <c r="B103" s="18">
        <v>2.0</v>
      </c>
    </row>
    <row r="104" ht="15.75" customHeight="1">
      <c r="A104" s="17" t="s">
        <v>3537</v>
      </c>
      <c r="B104" s="17">
        <v>2.0</v>
      </c>
    </row>
    <row r="105" ht="15.75" customHeight="1">
      <c r="A105" s="18" t="s">
        <v>3538</v>
      </c>
      <c r="B105" s="18">
        <v>2.0</v>
      </c>
    </row>
    <row r="106" ht="15.75" customHeight="1">
      <c r="A106" s="17" t="s">
        <v>3539</v>
      </c>
      <c r="B106" s="17">
        <v>2.0</v>
      </c>
    </row>
    <row r="107" ht="15.75" customHeight="1">
      <c r="A107" s="18" t="s">
        <v>3540</v>
      </c>
      <c r="B107" s="18">
        <v>2.0</v>
      </c>
    </row>
    <row r="108" ht="15.75" customHeight="1">
      <c r="A108" s="17" t="s">
        <v>3541</v>
      </c>
      <c r="B108" s="17">
        <v>2.0</v>
      </c>
    </row>
    <row r="109" ht="15.75" customHeight="1">
      <c r="A109" s="18" t="s">
        <v>3542</v>
      </c>
      <c r="B109" s="18">
        <v>2.0</v>
      </c>
    </row>
    <row r="110" ht="15.75" customHeight="1">
      <c r="A110" s="17" t="s">
        <v>3543</v>
      </c>
      <c r="B110" s="17">
        <v>2.0</v>
      </c>
    </row>
    <row r="111" ht="15.75" customHeight="1">
      <c r="A111" s="18" t="s">
        <v>3544</v>
      </c>
      <c r="B111" s="18">
        <v>2.0</v>
      </c>
    </row>
    <row r="112" ht="15.75" customHeight="1">
      <c r="A112" s="17" t="s">
        <v>3545</v>
      </c>
      <c r="B112" s="17">
        <v>2.0</v>
      </c>
    </row>
    <row r="113" ht="15.75" customHeight="1">
      <c r="A113" s="18" t="s">
        <v>3546</v>
      </c>
      <c r="B113" s="18">
        <v>2.0</v>
      </c>
    </row>
    <row r="114" ht="15.75" customHeight="1">
      <c r="A114" s="17" t="s">
        <v>3547</v>
      </c>
      <c r="B114" s="17">
        <v>2.0</v>
      </c>
    </row>
    <row r="115" ht="15.75" customHeight="1">
      <c r="A115" s="18" t="s">
        <v>3548</v>
      </c>
      <c r="B115" s="18">
        <v>2.0</v>
      </c>
    </row>
    <row r="116" ht="15.75" customHeight="1">
      <c r="A116" s="17" t="s">
        <v>3549</v>
      </c>
      <c r="B116" s="17">
        <v>2.0</v>
      </c>
    </row>
    <row r="117" ht="15.75" customHeight="1">
      <c r="A117" s="18" t="s">
        <v>3550</v>
      </c>
      <c r="B117" s="18">
        <v>2.0</v>
      </c>
    </row>
    <row r="118" ht="15.75" customHeight="1">
      <c r="A118" s="17" t="s">
        <v>3551</v>
      </c>
      <c r="B118" s="17">
        <v>2.0</v>
      </c>
    </row>
    <row r="119" ht="15.75" customHeight="1">
      <c r="A119" s="18" t="s">
        <v>3552</v>
      </c>
      <c r="B119" s="18">
        <v>2.0</v>
      </c>
    </row>
    <row r="120" ht="15.75" customHeight="1">
      <c r="A120" s="17" t="s">
        <v>3553</v>
      </c>
      <c r="B120" s="17">
        <v>2.0</v>
      </c>
    </row>
    <row r="121" ht="15.75" customHeight="1">
      <c r="A121" s="18" t="s">
        <v>3554</v>
      </c>
      <c r="B121" s="18">
        <v>2.0</v>
      </c>
    </row>
    <row r="122" ht="15.75" customHeight="1">
      <c r="A122" s="17" t="s">
        <v>3555</v>
      </c>
      <c r="B122" s="17">
        <v>2.0</v>
      </c>
    </row>
    <row r="123" ht="15.75" customHeight="1">
      <c r="A123" s="18" t="s">
        <v>3556</v>
      </c>
      <c r="B123" s="18">
        <v>2.0</v>
      </c>
    </row>
    <row r="124" ht="15.75" customHeight="1">
      <c r="A124" s="17" t="s">
        <v>3557</v>
      </c>
      <c r="B124" s="17">
        <v>2.0</v>
      </c>
    </row>
    <row r="125" ht="15.75" customHeight="1">
      <c r="A125" s="18" t="s">
        <v>3558</v>
      </c>
      <c r="B125" s="18">
        <v>2.0</v>
      </c>
    </row>
    <row r="126" ht="15.75" customHeight="1">
      <c r="A126" s="17" t="s">
        <v>3559</v>
      </c>
      <c r="B126" s="17">
        <v>2.0</v>
      </c>
    </row>
    <row r="127" ht="15.75" customHeight="1">
      <c r="A127" s="18" t="s">
        <v>3560</v>
      </c>
      <c r="B127" s="18">
        <v>2.0</v>
      </c>
    </row>
    <row r="128" ht="15.75" customHeight="1">
      <c r="A128" s="17" t="s">
        <v>3561</v>
      </c>
      <c r="B128" s="17">
        <v>2.0</v>
      </c>
    </row>
    <row r="129" ht="15.75" customHeight="1">
      <c r="A129" s="18" t="s">
        <v>3562</v>
      </c>
      <c r="B129" s="18">
        <v>2.0</v>
      </c>
    </row>
    <row r="130" ht="15.75" customHeight="1">
      <c r="A130" s="17" t="s">
        <v>3563</v>
      </c>
      <c r="B130" s="17">
        <v>2.0</v>
      </c>
    </row>
    <row r="131" ht="15.75" customHeight="1">
      <c r="A131" s="18" t="s">
        <v>3564</v>
      </c>
      <c r="B131" s="18">
        <v>2.0</v>
      </c>
    </row>
    <row r="132" ht="15.75" customHeight="1">
      <c r="A132" s="17" t="s">
        <v>3565</v>
      </c>
      <c r="B132" s="17">
        <v>2.0</v>
      </c>
    </row>
    <row r="133" ht="15.75" customHeight="1">
      <c r="A133" s="18" t="s">
        <v>3566</v>
      </c>
      <c r="B133" s="18">
        <v>2.0</v>
      </c>
    </row>
    <row r="134" ht="15.75" customHeight="1">
      <c r="A134" s="17" t="s">
        <v>3567</v>
      </c>
      <c r="B134" s="17">
        <v>2.0</v>
      </c>
    </row>
    <row r="135" ht="15.75" customHeight="1">
      <c r="A135" s="18" t="s">
        <v>3568</v>
      </c>
      <c r="B135" s="18">
        <v>2.0</v>
      </c>
    </row>
    <row r="136" ht="15.75" customHeight="1">
      <c r="A136" s="17" t="s">
        <v>3569</v>
      </c>
      <c r="B136" s="17">
        <v>2.0</v>
      </c>
    </row>
    <row r="137" ht="15.75" customHeight="1">
      <c r="A137" s="18" t="s">
        <v>3570</v>
      </c>
      <c r="B137" s="18">
        <v>2.0</v>
      </c>
    </row>
    <row r="138" ht="15.75" customHeight="1">
      <c r="A138" s="17" t="s">
        <v>3571</v>
      </c>
      <c r="B138" s="17">
        <v>2.0</v>
      </c>
    </row>
    <row r="139" ht="15.75" customHeight="1">
      <c r="A139" s="18" t="s">
        <v>3572</v>
      </c>
      <c r="B139" s="18">
        <v>2.0</v>
      </c>
    </row>
    <row r="140" ht="15.75" customHeight="1">
      <c r="A140" s="17" t="s">
        <v>3573</v>
      </c>
      <c r="B140" s="17">
        <v>2.0</v>
      </c>
    </row>
    <row r="141" ht="15.75" customHeight="1">
      <c r="A141" s="18" t="s">
        <v>3574</v>
      </c>
      <c r="B141" s="18">
        <v>2.0</v>
      </c>
    </row>
    <row r="142" ht="15.75" customHeight="1">
      <c r="A142" s="17" t="s">
        <v>3575</v>
      </c>
      <c r="B142" s="17">
        <v>2.0</v>
      </c>
    </row>
    <row r="143" ht="15.75" customHeight="1">
      <c r="A143" s="18" t="s">
        <v>3576</v>
      </c>
      <c r="B143" s="18">
        <v>2.0</v>
      </c>
    </row>
    <row r="144" ht="15.75" customHeight="1">
      <c r="A144" s="17" t="s">
        <v>3577</v>
      </c>
      <c r="B144" s="17">
        <v>2.0</v>
      </c>
    </row>
    <row r="145" ht="15.75" customHeight="1">
      <c r="A145" s="18" t="s">
        <v>3578</v>
      </c>
      <c r="B145" s="18">
        <v>2.0</v>
      </c>
    </row>
    <row r="146" ht="15.75" customHeight="1">
      <c r="A146" s="17" t="s">
        <v>3579</v>
      </c>
      <c r="B146" s="17">
        <v>2.0</v>
      </c>
    </row>
    <row r="147" ht="15.75" customHeight="1">
      <c r="A147" s="18" t="s">
        <v>3580</v>
      </c>
      <c r="B147" s="18">
        <v>2.0</v>
      </c>
    </row>
    <row r="148" ht="15.75" customHeight="1">
      <c r="A148" s="17" t="s">
        <v>3581</v>
      </c>
      <c r="B148" s="17">
        <v>2.0</v>
      </c>
    </row>
    <row r="149" ht="15.75" customHeight="1">
      <c r="A149" s="18" t="s">
        <v>3582</v>
      </c>
      <c r="B149" s="18">
        <v>2.0</v>
      </c>
    </row>
    <row r="150" ht="15.75" customHeight="1">
      <c r="A150" s="17" t="s">
        <v>3583</v>
      </c>
      <c r="B150" s="17">
        <v>2.0</v>
      </c>
    </row>
    <row r="151" ht="15.75" customHeight="1">
      <c r="A151" s="18" t="s">
        <v>3584</v>
      </c>
      <c r="B151" s="18">
        <v>2.0</v>
      </c>
    </row>
    <row r="152" ht="15.75" customHeight="1">
      <c r="A152" s="17" t="s">
        <v>3585</v>
      </c>
      <c r="B152" s="17">
        <v>2.0</v>
      </c>
    </row>
    <row r="153" ht="15.75" customHeight="1">
      <c r="A153" s="18" t="s">
        <v>3586</v>
      </c>
      <c r="B153" s="18">
        <v>2.0</v>
      </c>
    </row>
    <row r="154" ht="15.75" customHeight="1">
      <c r="A154" s="17" t="s">
        <v>3587</v>
      </c>
      <c r="B154" s="17">
        <v>2.0</v>
      </c>
    </row>
    <row r="155" ht="15.75" customHeight="1">
      <c r="A155" s="18" t="s">
        <v>3588</v>
      </c>
      <c r="B155" s="18">
        <v>2.0</v>
      </c>
    </row>
    <row r="156" ht="15.75" customHeight="1">
      <c r="A156" s="17" t="s">
        <v>3589</v>
      </c>
      <c r="B156" s="17">
        <v>2.0</v>
      </c>
    </row>
    <row r="157" ht="15.75" customHeight="1">
      <c r="A157" s="18" t="s">
        <v>3590</v>
      </c>
      <c r="B157" s="18">
        <v>2.0</v>
      </c>
    </row>
    <row r="158" ht="15.75" customHeight="1">
      <c r="A158" s="17" t="s">
        <v>3591</v>
      </c>
      <c r="B158" s="17">
        <v>2.0</v>
      </c>
    </row>
    <row r="159" ht="15.75" customHeight="1">
      <c r="A159" s="18" t="s">
        <v>3592</v>
      </c>
      <c r="B159" s="18">
        <v>2.0</v>
      </c>
    </row>
    <row r="160" ht="15.75" customHeight="1">
      <c r="A160" s="17" t="s">
        <v>3593</v>
      </c>
      <c r="B160" s="17">
        <v>2.0</v>
      </c>
    </row>
    <row r="161" ht="15.75" customHeight="1">
      <c r="A161" s="18" t="s">
        <v>3594</v>
      </c>
      <c r="B161" s="18">
        <v>2.0</v>
      </c>
    </row>
    <row r="162" ht="15.75" customHeight="1">
      <c r="A162" s="17" t="s">
        <v>3595</v>
      </c>
      <c r="B162" s="17">
        <v>2.0</v>
      </c>
    </row>
    <row r="163" ht="15.75" customHeight="1">
      <c r="A163" s="18" t="s">
        <v>3596</v>
      </c>
      <c r="B163" s="18">
        <v>2.0</v>
      </c>
    </row>
    <row r="164" ht="15.75" customHeight="1">
      <c r="A164" s="17" t="s">
        <v>3597</v>
      </c>
      <c r="B164" s="17">
        <v>2.0</v>
      </c>
    </row>
    <row r="165" ht="15.75" customHeight="1">
      <c r="A165" s="18" t="s">
        <v>3598</v>
      </c>
      <c r="B165" s="18">
        <v>2.0</v>
      </c>
    </row>
    <row r="166" ht="15.75" customHeight="1">
      <c r="A166" s="17" t="s">
        <v>3599</v>
      </c>
      <c r="B166" s="17">
        <v>2.0</v>
      </c>
    </row>
    <row r="167" ht="15.75" customHeight="1">
      <c r="A167" s="18" t="s">
        <v>3600</v>
      </c>
      <c r="B167" s="18">
        <v>2.0</v>
      </c>
    </row>
    <row r="168" ht="15.75" customHeight="1">
      <c r="A168" s="17" t="s">
        <v>3601</v>
      </c>
      <c r="B168" s="17">
        <v>2.0</v>
      </c>
    </row>
    <row r="169" ht="15.75" customHeight="1">
      <c r="A169" s="18" t="s">
        <v>3602</v>
      </c>
      <c r="B169" s="18">
        <v>2.0</v>
      </c>
    </row>
    <row r="170" ht="15.75" customHeight="1">
      <c r="A170" s="17" t="s">
        <v>3603</v>
      </c>
      <c r="B170" s="17">
        <v>2.0</v>
      </c>
    </row>
    <row r="171" ht="15.75" customHeight="1">
      <c r="A171" s="18" t="s">
        <v>3604</v>
      </c>
      <c r="B171" s="18">
        <v>2.0</v>
      </c>
    </row>
    <row r="172" ht="15.75" customHeight="1">
      <c r="A172" s="17" t="s">
        <v>3605</v>
      </c>
      <c r="B172" s="17">
        <v>2.0</v>
      </c>
    </row>
    <row r="173" ht="15.75" customHeight="1">
      <c r="A173" s="18" t="s">
        <v>3606</v>
      </c>
      <c r="B173" s="18">
        <v>2.0</v>
      </c>
    </row>
    <row r="174" ht="15.75" customHeight="1">
      <c r="A174" s="17" t="s">
        <v>3607</v>
      </c>
      <c r="B174" s="17">
        <v>2.0</v>
      </c>
    </row>
    <row r="175" ht="15.75" customHeight="1">
      <c r="A175" s="18" t="s">
        <v>3608</v>
      </c>
      <c r="B175" s="18">
        <v>2.0</v>
      </c>
    </row>
    <row r="176" ht="15.75" customHeight="1">
      <c r="A176" s="17" t="s">
        <v>3609</v>
      </c>
      <c r="B176" s="17">
        <v>2.0</v>
      </c>
    </row>
    <row r="177" ht="15.75" customHeight="1">
      <c r="A177" s="18" t="s">
        <v>3610</v>
      </c>
      <c r="B177" s="18">
        <v>2.0</v>
      </c>
    </row>
    <row r="178" ht="15.75" customHeight="1">
      <c r="A178" s="17" t="s">
        <v>3611</v>
      </c>
      <c r="B178" s="17">
        <v>2.0</v>
      </c>
    </row>
    <row r="179" ht="15.75" customHeight="1">
      <c r="A179" s="18" t="s">
        <v>3612</v>
      </c>
      <c r="B179" s="18">
        <v>2.0</v>
      </c>
    </row>
    <row r="180" ht="15.75" customHeight="1">
      <c r="A180" s="17" t="s">
        <v>3613</v>
      </c>
      <c r="B180" s="17">
        <v>2.0</v>
      </c>
    </row>
    <row r="181" ht="15.75" customHeight="1">
      <c r="A181" s="18" t="s">
        <v>3614</v>
      </c>
      <c r="B181" s="18">
        <v>2.0</v>
      </c>
    </row>
    <row r="182" ht="15.75" customHeight="1">
      <c r="A182" s="17" t="s">
        <v>3615</v>
      </c>
      <c r="B182" s="17">
        <v>2.0</v>
      </c>
    </row>
    <row r="183" ht="15.75" customHeight="1">
      <c r="A183" s="18" t="s">
        <v>3616</v>
      </c>
      <c r="B183" s="18">
        <v>2.0</v>
      </c>
    </row>
    <row r="184" ht="15.75" customHeight="1">
      <c r="A184" s="17" t="s">
        <v>3617</v>
      </c>
      <c r="B184" s="17">
        <v>2.0</v>
      </c>
    </row>
    <row r="185" ht="15.75" customHeight="1">
      <c r="A185" s="18" t="s">
        <v>3618</v>
      </c>
      <c r="B185" s="18">
        <v>2.0</v>
      </c>
    </row>
    <row r="186" ht="15.75" customHeight="1">
      <c r="A186" s="17" t="s">
        <v>3619</v>
      </c>
      <c r="B186" s="17">
        <v>2.0</v>
      </c>
    </row>
    <row r="187" ht="15.75" customHeight="1">
      <c r="A187" s="18" t="s">
        <v>3620</v>
      </c>
      <c r="B187" s="18">
        <v>2.0</v>
      </c>
    </row>
    <row r="188" ht="15.75" customHeight="1">
      <c r="A188" s="17" t="s">
        <v>3621</v>
      </c>
      <c r="B188" s="17">
        <v>2.0</v>
      </c>
    </row>
    <row r="189" ht="15.75" customHeight="1">
      <c r="A189" s="18" t="s">
        <v>3622</v>
      </c>
      <c r="B189" s="18">
        <v>2.0</v>
      </c>
    </row>
    <row r="190" ht="15.75" customHeight="1">
      <c r="A190" s="17" t="s">
        <v>3623</v>
      </c>
      <c r="B190" s="17">
        <v>2.0</v>
      </c>
    </row>
    <row r="191" ht="15.75" customHeight="1">
      <c r="A191" s="18" t="s">
        <v>3624</v>
      </c>
      <c r="B191" s="18">
        <v>2.0</v>
      </c>
    </row>
    <row r="192" ht="15.75" customHeight="1">
      <c r="A192" s="17" t="s">
        <v>3625</v>
      </c>
      <c r="B192" s="17">
        <v>2.0</v>
      </c>
    </row>
    <row r="193" ht="15.75" customHeight="1">
      <c r="A193" s="18" t="s">
        <v>3626</v>
      </c>
      <c r="B193" s="18">
        <v>2.0</v>
      </c>
    </row>
    <row r="194" ht="15.75" customHeight="1">
      <c r="A194" s="17" t="s">
        <v>3627</v>
      </c>
      <c r="B194" s="17">
        <v>2.0</v>
      </c>
    </row>
    <row r="195" ht="15.75" customHeight="1">
      <c r="A195" s="18" t="s">
        <v>3628</v>
      </c>
      <c r="B195" s="18">
        <v>2.0</v>
      </c>
    </row>
    <row r="196" ht="15.75" customHeight="1">
      <c r="A196" s="17" t="s">
        <v>3629</v>
      </c>
      <c r="B196" s="17">
        <v>2.0</v>
      </c>
    </row>
    <row r="197" ht="15.75" customHeight="1">
      <c r="A197" s="18" t="s">
        <v>3630</v>
      </c>
      <c r="B197" s="18">
        <v>2.0</v>
      </c>
    </row>
    <row r="198" ht="15.75" customHeight="1">
      <c r="A198" s="17" t="s">
        <v>3631</v>
      </c>
      <c r="B198" s="17">
        <v>2.0</v>
      </c>
    </row>
    <row r="199" ht="15.75" customHeight="1">
      <c r="A199" s="18" t="s">
        <v>3632</v>
      </c>
      <c r="B199" s="18">
        <v>2.0</v>
      </c>
    </row>
    <row r="200" ht="15.75" customHeight="1">
      <c r="A200" s="17" t="s">
        <v>3633</v>
      </c>
      <c r="B200" s="17">
        <v>2.0</v>
      </c>
    </row>
    <row r="201" ht="15.75" customHeight="1">
      <c r="A201" s="18" t="s">
        <v>3634</v>
      </c>
      <c r="B201" s="18">
        <v>2.0</v>
      </c>
    </row>
    <row r="202" ht="15.75" customHeight="1">
      <c r="A202" s="17" t="s">
        <v>3635</v>
      </c>
      <c r="B202" s="17">
        <v>2.0</v>
      </c>
    </row>
    <row r="203" ht="15.75" customHeight="1">
      <c r="A203" s="18" t="s">
        <v>3636</v>
      </c>
      <c r="B203" s="18">
        <v>1.0</v>
      </c>
    </row>
    <row r="204" ht="15.75" customHeight="1">
      <c r="A204" s="17" t="s">
        <v>3637</v>
      </c>
      <c r="B204" s="17">
        <v>1.0</v>
      </c>
    </row>
    <row r="205" ht="15.75" customHeight="1">
      <c r="A205" s="18" t="s">
        <v>3638</v>
      </c>
      <c r="B205" s="18">
        <v>1.0</v>
      </c>
    </row>
    <row r="206" ht="15.75" customHeight="1">
      <c r="A206" s="17" t="s">
        <v>3639</v>
      </c>
      <c r="B206" s="17">
        <v>1.0</v>
      </c>
    </row>
    <row r="207" ht="15.75" customHeight="1">
      <c r="A207" s="18" t="s">
        <v>3640</v>
      </c>
      <c r="B207" s="18">
        <v>1.0</v>
      </c>
    </row>
    <row r="208" ht="15.75" customHeight="1">
      <c r="A208" s="17" t="s">
        <v>3641</v>
      </c>
      <c r="B208" s="17">
        <v>1.0</v>
      </c>
    </row>
    <row r="209" ht="15.75" customHeight="1">
      <c r="A209" s="18" t="s">
        <v>3642</v>
      </c>
      <c r="B209" s="18">
        <v>1.0</v>
      </c>
    </row>
    <row r="210" ht="15.75" customHeight="1">
      <c r="A210" s="17" t="s">
        <v>3643</v>
      </c>
      <c r="B210" s="17">
        <v>1.0</v>
      </c>
    </row>
    <row r="211" ht="15.75" customHeight="1">
      <c r="A211" s="18" t="s">
        <v>3644</v>
      </c>
      <c r="B211" s="18">
        <v>1.0</v>
      </c>
    </row>
    <row r="212" ht="15.75" customHeight="1">
      <c r="A212" s="17" t="s">
        <v>3645</v>
      </c>
      <c r="B212" s="17">
        <v>1.0</v>
      </c>
    </row>
    <row r="213" ht="15.75" customHeight="1">
      <c r="A213" s="18" t="s">
        <v>3646</v>
      </c>
      <c r="B213" s="18">
        <v>1.0</v>
      </c>
    </row>
    <row r="214" ht="15.75" customHeight="1">
      <c r="A214" s="17" t="s">
        <v>3647</v>
      </c>
      <c r="B214" s="17">
        <v>1.0</v>
      </c>
    </row>
    <row r="215" ht="15.75" customHeight="1">
      <c r="A215" s="18" t="s">
        <v>3648</v>
      </c>
      <c r="B215" s="18">
        <v>1.0</v>
      </c>
    </row>
    <row r="216" ht="15.75" customHeight="1">
      <c r="A216" s="17" t="s">
        <v>3649</v>
      </c>
      <c r="B216" s="17">
        <v>1.0</v>
      </c>
    </row>
    <row r="217" ht="15.75" customHeight="1">
      <c r="A217" s="18" t="s">
        <v>3650</v>
      </c>
      <c r="B217" s="18">
        <v>1.0</v>
      </c>
    </row>
    <row r="218" ht="15.75" customHeight="1">
      <c r="A218" s="17" t="s">
        <v>3651</v>
      </c>
      <c r="B218" s="17">
        <v>1.0</v>
      </c>
    </row>
    <row r="219" ht="15.75" customHeight="1">
      <c r="A219" s="18" t="s">
        <v>3652</v>
      </c>
      <c r="B219" s="18">
        <v>1.0</v>
      </c>
    </row>
    <row r="220" ht="15.75" customHeight="1">
      <c r="A220" s="17" t="s">
        <v>3653</v>
      </c>
      <c r="B220" s="17">
        <v>1.0</v>
      </c>
    </row>
    <row r="221" ht="15.75" customHeight="1">
      <c r="A221" s="18" t="s">
        <v>3654</v>
      </c>
      <c r="B221" s="18">
        <v>1.0</v>
      </c>
    </row>
    <row r="222" ht="15.75" customHeight="1">
      <c r="A222" s="17" t="s">
        <v>3655</v>
      </c>
      <c r="B222" s="17">
        <v>1.0</v>
      </c>
    </row>
    <row r="223" ht="15.75" customHeight="1">
      <c r="A223" s="18" t="s">
        <v>3656</v>
      </c>
      <c r="B223" s="18">
        <v>1.0</v>
      </c>
    </row>
    <row r="224" ht="15.75" customHeight="1">
      <c r="A224" s="17" t="s">
        <v>3657</v>
      </c>
      <c r="B224" s="17">
        <v>1.0</v>
      </c>
    </row>
    <row r="225" ht="15.75" customHeight="1">
      <c r="A225" s="18" t="s">
        <v>3658</v>
      </c>
      <c r="B225" s="18">
        <v>1.0</v>
      </c>
    </row>
    <row r="226" ht="15.75" customHeight="1">
      <c r="A226" s="17" t="s">
        <v>3659</v>
      </c>
      <c r="B226" s="17">
        <v>1.0</v>
      </c>
    </row>
    <row r="227" ht="15.75" customHeight="1">
      <c r="A227" s="18" t="s">
        <v>3660</v>
      </c>
      <c r="B227" s="18">
        <v>1.0</v>
      </c>
    </row>
    <row r="228" ht="15.75" customHeight="1">
      <c r="A228" s="17" t="s">
        <v>3661</v>
      </c>
      <c r="B228" s="17">
        <v>1.0</v>
      </c>
    </row>
    <row r="229" ht="15.75" customHeight="1">
      <c r="A229" s="18" t="s">
        <v>3662</v>
      </c>
      <c r="B229" s="18">
        <v>1.0</v>
      </c>
    </row>
    <row r="230" ht="15.75" customHeight="1">
      <c r="A230" s="17" t="s">
        <v>3663</v>
      </c>
      <c r="B230" s="17">
        <v>1.0</v>
      </c>
    </row>
    <row r="231" ht="15.75" customHeight="1">
      <c r="A231" s="18" t="s">
        <v>3664</v>
      </c>
      <c r="B231" s="18">
        <v>1.0</v>
      </c>
    </row>
    <row r="232" ht="15.75" customHeight="1">
      <c r="A232" s="17" t="s">
        <v>3665</v>
      </c>
      <c r="B232" s="17">
        <v>1.0</v>
      </c>
    </row>
    <row r="233" ht="15.75" customHeight="1">
      <c r="A233" s="18" t="s">
        <v>3666</v>
      </c>
      <c r="B233" s="18">
        <v>1.0</v>
      </c>
    </row>
    <row r="234" ht="15.75" customHeight="1">
      <c r="A234" s="17" t="s">
        <v>3667</v>
      </c>
      <c r="B234" s="17">
        <v>1.0</v>
      </c>
    </row>
    <row r="235" ht="15.75" customHeight="1">
      <c r="A235" s="18" t="s">
        <v>3668</v>
      </c>
      <c r="B235" s="18">
        <v>1.0</v>
      </c>
    </row>
    <row r="236" ht="15.75" customHeight="1">
      <c r="A236" s="17" t="s">
        <v>3669</v>
      </c>
      <c r="B236" s="17">
        <v>1.0</v>
      </c>
    </row>
    <row r="237" ht="15.75" customHeight="1">
      <c r="A237" s="18" t="s">
        <v>3670</v>
      </c>
      <c r="B237" s="18">
        <v>1.0</v>
      </c>
    </row>
    <row r="238" ht="15.75" customHeight="1">
      <c r="A238" s="17" t="s">
        <v>3671</v>
      </c>
      <c r="B238" s="17">
        <v>1.0</v>
      </c>
    </row>
    <row r="239" ht="15.75" customHeight="1">
      <c r="A239" s="18" t="s">
        <v>3672</v>
      </c>
      <c r="B239" s="18">
        <v>1.0</v>
      </c>
    </row>
    <row r="240" ht="15.75" customHeight="1">
      <c r="A240" s="17" t="s">
        <v>3673</v>
      </c>
      <c r="B240" s="17">
        <v>1.0</v>
      </c>
    </row>
    <row r="241" ht="15.75" customHeight="1">
      <c r="A241" s="18" t="s">
        <v>3674</v>
      </c>
      <c r="B241" s="18">
        <v>1.0</v>
      </c>
    </row>
    <row r="242" ht="15.75" customHeight="1">
      <c r="A242" s="17" t="s">
        <v>3675</v>
      </c>
      <c r="B242" s="17">
        <v>1.0</v>
      </c>
    </row>
    <row r="243" ht="15.75" customHeight="1">
      <c r="A243" s="18" t="s">
        <v>3676</v>
      </c>
      <c r="B243" s="18">
        <v>1.0</v>
      </c>
    </row>
    <row r="244" ht="15.75" customHeight="1">
      <c r="A244" s="17" t="s">
        <v>3677</v>
      </c>
      <c r="B244" s="17">
        <v>1.0</v>
      </c>
    </row>
    <row r="245" ht="15.75" customHeight="1">
      <c r="A245" s="18" t="s">
        <v>3678</v>
      </c>
      <c r="B245" s="18">
        <v>1.0</v>
      </c>
    </row>
    <row r="246" ht="15.75" customHeight="1">
      <c r="A246" s="17" t="s">
        <v>3679</v>
      </c>
      <c r="B246" s="17">
        <v>1.0</v>
      </c>
    </row>
    <row r="247" ht="15.75" customHeight="1">
      <c r="A247" s="18" t="s">
        <v>3680</v>
      </c>
      <c r="B247" s="18">
        <v>1.0</v>
      </c>
    </row>
    <row r="248" ht="15.75" customHeight="1">
      <c r="A248" s="17" t="s">
        <v>3681</v>
      </c>
      <c r="B248" s="17">
        <v>1.0</v>
      </c>
    </row>
    <row r="249" ht="15.75" customHeight="1">
      <c r="A249" s="18" t="s">
        <v>3682</v>
      </c>
      <c r="B249" s="18">
        <v>1.0</v>
      </c>
    </row>
    <row r="250" ht="15.75" customHeight="1">
      <c r="A250" s="17" t="s">
        <v>3683</v>
      </c>
      <c r="B250" s="17">
        <v>1.0</v>
      </c>
    </row>
    <row r="251" ht="15.75" customHeight="1">
      <c r="A251" s="18" t="s">
        <v>3684</v>
      </c>
      <c r="B251" s="18">
        <v>1.0</v>
      </c>
    </row>
    <row r="252" ht="15.75" customHeight="1">
      <c r="A252" s="17" t="s">
        <v>3685</v>
      </c>
      <c r="B252" s="17">
        <v>1.0</v>
      </c>
    </row>
    <row r="253" ht="15.75" customHeight="1">
      <c r="A253" s="18" t="s">
        <v>3686</v>
      </c>
      <c r="B253" s="18">
        <v>1.0</v>
      </c>
    </row>
    <row r="254" ht="15.75" customHeight="1">
      <c r="A254" s="17" t="s">
        <v>3687</v>
      </c>
      <c r="B254" s="17">
        <v>1.0</v>
      </c>
    </row>
    <row r="255" ht="15.75" customHeight="1">
      <c r="A255" s="18" t="s">
        <v>3688</v>
      </c>
      <c r="B255" s="18">
        <v>1.0</v>
      </c>
    </row>
    <row r="256" ht="15.75" customHeight="1">
      <c r="A256" s="17" t="s">
        <v>3689</v>
      </c>
      <c r="B256" s="17">
        <v>1.0</v>
      </c>
    </row>
    <row r="257" ht="15.75" customHeight="1">
      <c r="A257" s="18" t="s">
        <v>3690</v>
      </c>
      <c r="B257" s="18">
        <v>1.0</v>
      </c>
    </row>
    <row r="258" ht="15.75" customHeight="1">
      <c r="A258" s="17" t="s">
        <v>3691</v>
      </c>
      <c r="B258" s="17">
        <v>1.0</v>
      </c>
    </row>
    <row r="259" ht="15.75" customHeight="1">
      <c r="A259" s="18" t="s">
        <v>3692</v>
      </c>
      <c r="B259" s="18">
        <v>1.0</v>
      </c>
    </row>
    <row r="260" ht="15.75" customHeight="1">
      <c r="A260" s="17" t="s">
        <v>3693</v>
      </c>
      <c r="B260" s="17">
        <v>1.0</v>
      </c>
    </row>
    <row r="261" ht="15.75" customHeight="1">
      <c r="A261" s="18" t="s">
        <v>3694</v>
      </c>
      <c r="B261" s="18">
        <v>1.0</v>
      </c>
    </row>
    <row r="262" ht="15.75" customHeight="1">
      <c r="A262" s="17" t="s">
        <v>3695</v>
      </c>
      <c r="B262" s="17">
        <v>1.0</v>
      </c>
    </row>
    <row r="263" ht="15.75" customHeight="1">
      <c r="A263" s="18" t="s">
        <v>3696</v>
      </c>
      <c r="B263" s="18">
        <v>1.0</v>
      </c>
    </row>
    <row r="264" ht="15.75" customHeight="1">
      <c r="A264" s="17" t="s">
        <v>3697</v>
      </c>
      <c r="B264" s="17">
        <v>1.0</v>
      </c>
    </row>
    <row r="265" ht="15.75" customHeight="1">
      <c r="A265" s="18" t="s">
        <v>3698</v>
      </c>
      <c r="B265" s="18">
        <v>1.0</v>
      </c>
    </row>
    <row r="266" ht="15.75" customHeight="1">
      <c r="A266" s="17" t="s">
        <v>3699</v>
      </c>
      <c r="B266" s="17">
        <v>1.0</v>
      </c>
    </row>
    <row r="267" ht="15.75" customHeight="1">
      <c r="A267" s="18" t="s">
        <v>3700</v>
      </c>
      <c r="B267" s="18">
        <v>1.0</v>
      </c>
    </row>
    <row r="268" ht="15.75" customHeight="1">
      <c r="A268" s="17" t="s">
        <v>3701</v>
      </c>
      <c r="B268" s="17">
        <v>1.0</v>
      </c>
    </row>
    <row r="269" ht="15.75" customHeight="1">
      <c r="A269" s="18" t="s">
        <v>3702</v>
      </c>
      <c r="B269" s="18">
        <v>1.0</v>
      </c>
    </row>
    <row r="270" ht="15.75" customHeight="1">
      <c r="A270" s="17" t="s">
        <v>3703</v>
      </c>
      <c r="B270" s="17">
        <v>1.0</v>
      </c>
    </row>
    <row r="271" ht="15.75" customHeight="1">
      <c r="A271" s="18" t="s">
        <v>3704</v>
      </c>
      <c r="B271" s="18">
        <v>1.0</v>
      </c>
    </row>
    <row r="272" ht="15.75" customHeight="1">
      <c r="A272" s="17" t="s">
        <v>3705</v>
      </c>
      <c r="B272" s="17">
        <v>1.0</v>
      </c>
    </row>
    <row r="273" ht="15.75" customHeight="1">
      <c r="A273" s="18" t="s">
        <v>3706</v>
      </c>
      <c r="B273" s="18">
        <v>1.0</v>
      </c>
    </row>
    <row r="274" ht="15.75" customHeight="1">
      <c r="A274" s="17" t="s">
        <v>3707</v>
      </c>
      <c r="B274" s="17">
        <v>1.0</v>
      </c>
    </row>
    <row r="275" ht="15.75" customHeight="1">
      <c r="A275" s="18" t="s">
        <v>3708</v>
      </c>
      <c r="B275" s="18">
        <v>1.0</v>
      </c>
    </row>
    <row r="276" ht="15.75" customHeight="1">
      <c r="A276" s="17" t="s">
        <v>3709</v>
      </c>
      <c r="B276" s="17">
        <v>1.0</v>
      </c>
    </row>
    <row r="277" ht="15.75" customHeight="1">
      <c r="A277" s="18" t="s">
        <v>3710</v>
      </c>
      <c r="B277" s="18">
        <v>1.0</v>
      </c>
    </row>
    <row r="278" ht="15.75" customHeight="1">
      <c r="A278" s="17" t="s">
        <v>3711</v>
      </c>
      <c r="B278" s="17">
        <v>1.0</v>
      </c>
    </row>
    <row r="279" ht="15.75" customHeight="1">
      <c r="A279" s="18" t="s">
        <v>3712</v>
      </c>
      <c r="B279" s="18">
        <v>1.0</v>
      </c>
    </row>
    <row r="280" ht="15.75" customHeight="1">
      <c r="A280" s="17" t="s">
        <v>3713</v>
      </c>
      <c r="B280" s="17">
        <v>1.0</v>
      </c>
    </row>
    <row r="281" ht="15.75" customHeight="1">
      <c r="A281" s="18" t="s">
        <v>3714</v>
      </c>
      <c r="B281" s="18">
        <v>1.0</v>
      </c>
    </row>
    <row r="282" ht="15.75" customHeight="1">
      <c r="A282" s="17" t="s">
        <v>3715</v>
      </c>
      <c r="B282" s="17">
        <v>1.0</v>
      </c>
    </row>
    <row r="283" ht="15.75" customHeight="1">
      <c r="A283" s="18" t="s">
        <v>3716</v>
      </c>
      <c r="B283" s="18">
        <v>1.0</v>
      </c>
    </row>
    <row r="284" ht="15.75" customHeight="1">
      <c r="A284" s="17" t="s">
        <v>3717</v>
      </c>
      <c r="B284" s="17">
        <v>1.0</v>
      </c>
    </row>
    <row r="285" ht="15.75" customHeight="1">
      <c r="A285" s="18" t="s">
        <v>3718</v>
      </c>
      <c r="B285" s="18">
        <v>1.0</v>
      </c>
    </row>
    <row r="286" ht="15.75" customHeight="1">
      <c r="A286" s="17" t="s">
        <v>3719</v>
      </c>
      <c r="B286" s="17">
        <v>1.0</v>
      </c>
    </row>
    <row r="287" ht="15.75" customHeight="1">
      <c r="A287" s="18" t="s">
        <v>3720</v>
      </c>
      <c r="B287" s="18">
        <v>1.0</v>
      </c>
    </row>
    <row r="288" ht="15.75" customHeight="1">
      <c r="A288" s="17" t="s">
        <v>3721</v>
      </c>
      <c r="B288" s="17">
        <v>1.0</v>
      </c>
    </row>
    <row r="289" ht="15.75" customHeight="1">
      <c r="A289" s="18" t="s">
        <v>3722</v>
      </c>
      <c r="B289" s="18">
        <v>1.0</v>
      </c>
    </row>
    <row r="290" ht="15.75" customHeight="1">
      <c r="A290" s="17" t="s">
        <v>3723</v>
      </c>
      <c r="B290" s="17">
        <v>1.0</v>
      </c>
    </row>
    <row r="291" ht="15.75" customHeight="1">
      <c r="A291" s="18" t="s">
        <v>3724</v>
      </c>
      <c r="B291" s="18">
        <v>1.0</v>
      </c>
    </row>
    <row r="292" ht="15.75" customHeight="1">
      <c r="A292" s="17" t="s">
        <v>3725</v>
      </c>
      <c r="B292" s="17">
        <v>1.0</v>
      </c>
    </row>
    <row r="293" ht="15.75" customHeight="1">
      <c r="A293" s="18" t="s">
        <v>3726</v>
      </c>
      <c r="B293" s="18">
        <v>1.0</v>
      </c>
    </row>
    <row r="294" ht="15.75" customHeight="1">
      <c r="A294" s="17" t="s">
        <v>3727</v>
      </c>
      <c r="B294" s="17">
        <v>1.0</v>
      </c>
    </row>
    <row r="295" ht="15.75" customHeight="1">
      <c r="A295" s="18" t="s">
        <v>3728</v>
      </c>
      <c r="B295" s="18">
        <v>1.0</v>
      </c>
    </row>
    <row r="296" ht="15.75" customHeight="1">
      <c r="A296" s="17" t="s">
        <v>3729</v>
      </c>
      <c r="B296" s="17">
        <v>1.0</v>
      </c>
    </row>
    <row r="297" ht="15.75" customHeight="1">
      <c r="A297" s="18" t="s">
        <v>3730</v>
      </c>
      <c r="B297" s="18">
        <v>1.0</v>
      </c>
    </row>
    <row r="298" ht="15.75" customHeight="1">
      <c r="A298" s="17" t="s">
        <v>3731</v>
      </c>
      <c r="B298" s="17">
        <v>1.0</v>
      </c>
    </row>
    <row r="299" ht="15.75" customHeight="1">
      <c r="A299" s="18" t="s">
        <v>3732</v>
      </c>
      <c r="B299" s="18">
        <v>1.0</v>
      </c>
    </row>
    <row r="300" ht="15.75" customHeight="1">
      <c r="A300" s="17" t="s">
        <v>3733</v>
      </c>
      <c r="B300" s="17">
        <v>1.0</v>
      </c>
    </row>
    <row r="301" ht="15.75" customHeight="1">
      <c r="A301" s="18" t="s">
        <v>3734</v>
      </c>
      <c r="B301" s="18">
        <v>1.0</v>
      </c>
    </row>
    <row r="302" ht="15.75" customHeight="1">
      <c r="A302" s="17" t="s">
        <v>3735</v>
      </c>
      <c r="B302" s="17">
        <v>1.0</v>
      </c>
    </row>
    <row r="303" ht="15.75" customHeight="1">
      <c r="A303" s="18" t="s">
        <v>3736</v>
      </c>
      <c r="B303" s="18">
        <v>1.0</v>
      </c>
    </row>
    <row r="304" ht="15.75" customHeight="1">
      <c r="A304" s="17" t="s">
        <v>3737</v>
      </c>
      <c r="B304" s="17">
        <v>1.0</v>
      </c>
    </row>
    <row r="305" ht="15.75" customHeight="1">
      <c r="A305" s="18" t="s">
        <v>3738</v>
      </c>
      <c r="B305" s="18">
        <v>1.0</v>
      </c>
    </row>
    <row r="306" ht="15.75" customHeight="1">
      <c r="A306" s="17" t="s">
        <v>3739</v>
      </c>
      <c r="B306" s="17">
        <v>1.0</v>
      </c>
    </row>
    <row r="307" ht="15.75" customHeight="1">
      <c r="A307" s="18" t="s">
        <v>3740</v>
      </c>
      <c r="B307" s="18">
        <v>1.0</v>
      </c>
    </row>
    <row r="308" ht="15.75" customHeight="1">
      <c r="A308" s="17" t="s">
        <v>3741</v>
      </c>
      <c r="B308" s="17">
        <v>1.0</v>
      </c>
    </row>
    <row r="309" ht="15.75" customHeight="1">
      <c r="A309" s="18" t="s">
        <v>3742</v>
      </c>
      <c r="B309" s="18">
        <v>1.0</v>
      </c>
    </row>
    <row r="310" ht="15.75" customHeight="1">
      <c r="A310" s="17" t="s">
        <v>3743</v>
      </c>
      <c r="B310" s="17">
        <v>1.0</v>
      </c>
    </row>
    <row r="311" ht="15.75" customHeight="1">
      <c r="A311" s="18" t="s">
        <v>3744</v>
      </c>
      <c r="B311" s="18">
        <v>1.0</v>
      </c>
    </row>
    <row r="312" ht="15.75" customHeight="1">
      <c r="A312" s="17" t="s">
        <v>3745</v>
      </c>
      <c r="B312" s="17">
        <v>1.0</v>
      </c>
    </row>
    <row r="313" ht="15.75" customHeight="1">
      <c r="A313" s="18" t="s">
        <v>3746</v>
      </c>
      <c r="B313" s="18">
        <v>1.0</v>
      </c>
    </row>
    <row r="314" ht="15.75" customHeight="1">
      <c r="A314" s="17" t="s">
        <v>3747</v>
      </c>
      <c r="B314" s="17">
        <v>1.0</v>
      </c>
    </row>
    <row r="315" ht="15.75" customHeight="1">
      <c r="A315" s="18" t="s">
        <v>3748</v>
      </c>
      <c r="B315" s="18">
        <v>1.0</v>
      </c>
    </row>
    <row r="316" ht="15.75" customHeight="1">
      <c r="A316" s="17" t="s">
        <v>3749</v>
      </c>
      <c r="B316" s="17">
        <v>1.0</v>
      </c>
    </row>
    <row r="317" ht="15.75" customHeight="1">
      <c r="A317" s="18" t="s">
        <v>3750</v>
      </c>
      <c r="B317" s="18">
        <v>1.0</v>
      </c>
    </row>
    <row r="318" ht="15.75" customHeight="1">
      <c r="A318" s="17" t="s">
        <v>3751</v>
      </c>
      <c r="B318" s="17">
        <v>1.0</v>
      </c>
    </row>
    <row r="319" ht="15.75" customHeight="1">
      <c r="A319" s="18" t="s">
        <v>3752</v>
      </c>
      <c r="B319" s="18">
        <v>1.0</v>
      </c>
    </row>
    <row r="320" ht="15.75" customHeight="1">
      <c r="A320" s="17" t="s">
        <v>3753</v>
      </c>
      <c r="B320" s="17">
        <v>1.0</v>
      </c>
    </row>
    <row r="321" ht="15.75" customHeight="1">
      <c r="A321" s="18" t="s">
        <v>3754</v>
      </c>
      <c r="B321" s="18">
        <v>1.0</v>
      </c>
    </row>
    <row r="322" ht="15.75" customHeight="1">
      <c r="A322" s="17" t="s">
        <v>3755</v>
      </c>
      <c r="B322" s="17">
        <v>1.0</v>
      </c>
    </row>
    <row r="323" ht="15.75" customHeight="1">
      <c r="A323" s="18" t="s">
        <v>3756</v>
      </c>
      <c r="B323" s="18">
        <v>1.0</v>
      </c>
    </row>
    <row r="324" ht="15.75" customHeight="1">
      <c r="A324" s="17" t="s">
        <v>3757</v>
      </c>
      <c r="B324" s="17">
        <v>1.0</v>
      </c>
    </row>
    <row r="325" ht="15.75" customHeight="1">
      <c r="A325" s="18" t="s">
        <v>3758</v>
      </c>
      <c r="B325" s="18">
        <v>1.0</v>
      </c>
    </row>
    <row r="326" ht="15.75" customHeight="1">
      <c r="A326" s="17" t="s">
        <v>3759</v>
      </c>
      <c r="B326" s="17">
        <v>1.0</v>
      </c>
    </row>
    <row r="327" ht="15.75" customHeight="1">
      <c r="A327" s="18" t="s">
        <v>3760</v>
      </c>
      <c r="B327" s="18">
        <v>1.0</v>
      </c>
    </row>
    <row r="328" ht="15.75" customHeight="1">
      <c r="A328" s="17" t="s">
        <v>3761</v>
      </c>
      <c r="B328" s="17">
        <v>1.0</v>
      </c>
    </row>
    <row r="329" ht="15.75" customHeight="1">
      <c r="A329" s="18" t="s">
        <v>3762</v>
      </c>
      <c r="B329" s="18">
        <v>1.0</v>
      </c>
    </row>
    <row r="330" ht="15.75" customHeight="1">
      <c r="A330" s="17" t="s">
        <v>3763</v>
      </c>
      <c r="B330" s="17">
        <v>1.0</v>
      </c>
    </row>
    <row r="331" ht="15.75" customHeight="1">
      <c r="A331" s="18" t="s">
        <v>3764</v>
      </c>
      <c r="B331" s="18">
        <v>1.0</v>
      </c>
    </row>
    <row r="332" ht="15.75" customHeight="1">
      <c r="A332" s="17" t="s">
        <v>3765</v>
      </c>
      <c r="B332" s="17">
        <v>1.0</v>
      </c>
    </row>
    <row r="333" ht="15.75" customHeight="1">
      <c r="A333" s="18" t="s">
        <v>3766</v>
      </c>
      <c r="B333" s="18">
        <v>1.0</v>
      </c>
    </row>
    <row r="334" ht="15.75" customHeight="1">
      <c r="A334" s="17" t="s">
        <v>3767</v>
      </c>
      <c r="B334" s="17">
        <v>1.0</v>
      </c>
    </row>
    <row r="335" ht="15.75" customHeight="1">
      <c r="A335" s="18" t="s">
        <v>3768</v>
      </c>
      <c r="B335" s="18">
        <v>1.0</v>
      </c>
    </row>
    <row r="336" ht="15.75" customHeight="1">
      <c r="A336" s="17" t="s">
        <v>3769</v>
      </c>
      <c r="B336" s="17">
        <v>1.0</v>
      </c>
    </row>
    <row r="337" ht="15.75" customHeight="1">
      <c r="A337" s="18" t="s">
        <v>3770</v>
      </c>
      <c r="B337" s="18">
        <v>1.0</v>
      </c>
    </row>
    <row r="338" ht="15.75" customHeight="1">
      <c r="A338" s="17" t="s">
        <v>3771</v>
      </c>
      <c r="B338" s="17">
        <v>1.0</v>
      </c>
    </row>
    <row r="339" ht="15.75" customHeight="1">
      <c r="A339" s="18" t="s">
        <v>3772</v>
      </c>
      <c r="B339" s="18">
        <v>1.0</v>
      </c>
    </row>
    <row r="340" ht="15.75" customHeight="1">
      <c r="A340" s="17" t="s">
        <v>3773</v>
      </c>
      <c r="B340" s="17">
        <v>1.0</v>
      </c>
    </row>
    <row r="341" ht="15.75" customHeight="1">
      <c r="A341" s="18" t="s">
        <v>3774</v>
      </c>
      <c r="B341" s="18">
        <v>1.0</v>
      </c>
    </row>
    <row r="342" ht="15.75" customHeight="1">
      <c r="A342" s="17" t="s">
        <v>3775</v>
      </c>
      <c r="B342" s="17">
        <v>1.0</v>
      </c>
    </row>
    <row r="343" ht="15.75" customHeight="1">
      <c r="A343" s="18" t="s">
        <v>3776</v>
      </c>
      <c r="B343" s="18">
        <v>1.0</v>
      </c>
    </row>
    <row r="344" ht="15.75" customHeight="1">
      <c r="A344" s="17" t="s">
        <v>3777</v>
      </c>
      <c r="B344" s="17">
        <v>1.0</v>
      </c>
    </row>
    <row r="345" ht="15.75" customHeight="1">
      <c r="A345" s="18" t="s">
        <v>3778</v>
      </c>
      <c r="B345" s="18">
        <v>1.0</v>
      </c>
    </row>
    <row r="346" ht="15.75" customHeight="1">
      <c r="A346" s="17" t="s">
        <v>3779</v>
      </c>
      <c r="B346" s="17">
        <v>1.0</v>
      </c>
    </row>
    <row r="347" ht="15.75" customHeight="1">
      <c r="A347" s="18" t="s">
        <v>3780</v>
      </c>
      <c r="B347" s="18">
        <v>1.0</v>
      </c>
    </row>
    <row r="348" ht="15.75" customHeight="1">
      <c r="A348" s="17" t="s">
        <v>3781</v>
      </c>
      <c r="B348" s="17">
        <v>1.0</v>
      </c>
    </row>
    <row r="349" ht="15.75" customHeight="1">
      <c r="A349" s="18" t="s">
        <v>3782</v>
      </c>
      <c r="B349" s="18">
        <v>1.0</v>
      </c>
    </row>
    <row r="350" ht="15.75" customHeight="1">
      <c r="A350" s="17" t="s">
        <v>3783</v>
      </c>
      <c r="B350" s="17">
        <v>1.0</v>
      </c>
    </row>
    <row r="351" ht="15.75" customHeight="1">
      <c r="A351" s="18" t="s">
        <v>3784</v>
      </c>
      <c r="B351" s="18">
        <v>1.0</v>
      </c>
    </row>
    <row r="352" ht="15.75" customHeight="1">
      <c r="A352" s="17" t="s">
        <v>3785</v>
      </c>
      <c r="B352" s="17">
        <v>1.0</v>
      </c>
    </row>
    <row r="353" ht="15.75" customHeight="1">
      <c r="A353" s="18" t="s">
        <v>3786</v>
      </c>
      <c r="B353" s="18">
        <v>1.0</v>
      </c>
    </row>
    <row r="354" ht="15.75" customHeight="1">
      <c r="A354" s="17" t="s">
        <v>3787</v>
      </c>
      <c r="B354" s="17">
        <v>1.0</v>
      </c>
    </row>
    <row r="355" ht="15.75" customHeight="1">
      <c r="A355" s="18" t="s">
        <v>3788</v>
      </c>
      <c r="B355" s="18">
        <v>1.0</v>
      </c>
    </row>
    <row r="356" ht="15.75" customHeight="1">
      <c r="A356" s="17" t="s">
        <v>3789</v>
      </c>
      <c r="B356" s="17">
        <v>1.0</v>
      </c>
    </row>
    <row r="357" ht="15.75" customHeight="1">
      <c r="A357" s="18" t="s">
        <v>3790</v>
      </c>
      <c r="B357" s="18">
        <v>1.0</v>
      </c>
    </row>
    <row r="358" ht="15.75" customHeight="1">
      <c r="A358" s="17" t="s">
        <v>3791</v>
      </c>
      <c r="B358" s="17">
        <v>1.0</v>
      </c>
    </row>
    <row r="359" ht="15.75" customHeight="1">
      <c r="A359" s="18" t="s">
        <v>3792</v>
      </c>
      <c r="B359" s="18">
        <v>1.0</v>
      </c>
    </row>
    <row r="360" ht="15.75" customHeight="1">
      <c r="A360" s="17" t="s">
        <v>3793</v>
      </c>
      <c r="B360" s="17">
        <v>1.0</v>
      </c>
    </row>
    <row r="361" ht="15.75" customHeight="1">
      <c r="A361" s="18" t="s">
        <v>3794</v>
      </c>
      <c r="B361" s="18">
        <v>1.0</v>
      </c>
    </row>
    <row r="362" ht="15.75" customHeight="1">
      <c r="A362" s="17" t="s">
        <v>3795</v>
      </c>
      <c r="B362" s="17">
        <v>1.0</v>
      </c>
    </row>
    <row r="363" ht="15.75" customHeight="1">
      <c r="A363" s="18" t="s">
        <v>3796</v>
      </c>
      <c r="B363" s="18">
        <v>1.0</v>
      </c>
    </row>
    <row r="364" ht="15.75" customHeight="1">
      <c r="A364" s="17" t="s">
        <v>3797</v>
      </c>
      <c r="B364" s="17">
        <v>1.0</v>
      </c>
    </row>
    <row r="365" ht="15.75" customHeight="1">
      <c r="A365" s="18" t="s">
        <v>3798</v>
      </c>
      <c r="B365" s="18">
        <v>1.0</v>
      </c>
    </row>
    <row r="366" ht="15.75" customHeight="1">
      <c r="A366" s="17" t="s">
        <v>3799</v>
      </c>
      <c r="B366" s="17">
        <v>1.0</v>
      </c>
    </row>
    <row r="367" ht="15.75" customHeight="1">
      <c r="A367" s="18" t="s">
        <v>3800</v>
      </c>
      <c r="B367" s="18">
        <v>1.0</v>
      </c>
    </row>
    <row r="368" ht="15.75" customHeight="1">
      <c r="A368" s="17" t="s">
        <v>3801</v>
      </c>
      <c r="B368" s="17">
        <v>1.0</v>
      </c>
    </row>
    <row r="369" ht="15.75" customHeight="1">
      <c r="A369" s="18" t="s">
        <v>3802</v>
      </c>
      <c r="B369" s="18">
        <v>1.0</v>
      </c>
    </row>
    <row r="370" ht="15.75" customHeight="1">
      <c r="A370" s="17" t="s">
        <v>3803</v>
      </c>
      <c r="B370" s="17">
        <v>1.0</v>
      </c>
    </row>
    <row r="371" ht="15.75" customHeight="1">
      <c r="A371" s="18" t="s">
        <v>3804</v>
      </c>
      <c r="B371" s="18">
        <v>1.0</v>
      </c>
    </row>
    <row r="372" ht="15.75" customHeight="1">
      <c r="A372" s="17" t="s">
        <v>3805</v>
      </c>
      <c r="B372" s="17">
        <v>1.0</v>
      </c>
    </row>
    <row r="373" ht="15.75" customHeight="1">
      <c r="A373" s="18" t="s">
        <v>3806</v>
      </c>
      <c r="B373" s="18">
        <v>1.0</v>
      </c>
    </row>
    <row r="374" ht="15.75" customHeight="1">
      <c r="A374" s="17" t="s">
        <v>3807</v>
      </c>
      <c r="B374" s="17">
        <v>1.0</v>
      </c>
    </row>
    <row r="375" ht="15.75" customHeight="1">
      <c r="A375" s="18" t="s">
        <v>3808</v>
      </c>
      <c r="B375" s="18">
        <v>1.0</v>
      </c>
    </row>
    <row r="376" ht="15.75" customHeight="1">
      <c r="A376" s="17" t="s">
        <v>3809</v>
      </c>
      <c r="B376" s="17">
        <v>1.0</v>
      </c>
    </row>
    <row r="377" ht="15.75" customHeight="1">
      <c r="A377" s="18" t="s">
        <v>3810</v>
      </c>
      <c r="B377" s="18">
        <v>1.0</v>
      </c>
    </row>
    <row r="378" ht="15.75" customHeight="1">
      <c r="A378" s="17" t="s">
        <v>3811</v>
      </c>
      <c r="B378" s="17">
        <v>1.0</v>
      </c>
    </row>
    <row r="379" ht="15.75" customHeight="1">
      <c r="A379" s="18" t="s">
        <v>3812</v>
      </c>
      <c r="B379" s="18">
        <v>1.0</v>
      </c>
    </row>
    <row r="380" ht="15.75" customHeight="1">
      <c r="A380" s="17" t="s">
        <v>3813</v>
      </c>
      <c r="B380" s="17">
        <v>1.0</v>
      </c>
    </row>
    <row r="381" ht="15.75" customHeight="1">
      <c r="A381" s="18" t="s">
        <v>3814</v>
      </c>
      <c r="B381" s="18">
        <v>1.0</v>
      </c>
    </row>
    <row r="382" ht="15.75" customHeight="1">
      <c r="A382" s="17" t="s">
        <v>3815</v>
      </c>
      <c r="B382" s="17">
        <v>1.0</v>
      </c>
    </row>
    <row r="383" ht="15.75" customHeight="1">
      <c r="A383" s="18" t="s">
        <v>3816</v>
      </c>
      <c r="B383" s="18">
        <v>1.0</v>
      </c>
    </row>
    <row r="384" ht="15.75" customHeight="1">
      <c r="A384" s="17" t="s">
        <v>3817</v>
      </c>
      <c r="B384" s="17">
        <v>1.0</v>
      </c>
    </row>
    <row r="385" ht="15.75" customHeight="1">
      <c r="A385" s="18" t="s">
        <v>3818</v>
      </c>
      <c r="B385" s="18">
        <v>1.0</v>
      </c>
    </row>
    <row r="386" ht="15.75" customHeight="1">
      <c r="A386" s="17" t="s">
        <v>3819</v>
      </c>
      <c r="B386" s="17">
        <v>1.0</v>
      </c>
    </row>
    <row r="387" ht="15.75" customHeight="1">
      <c r="A387" s="18" t="s">
        <v>3820</v>
      </c>
      <c r="B387" s="18">
        <v>1.0</v>
      </c>
    </row>
    <row r="388" ht="15.75" customHeight="1">
      <c r="A388" s="17" t="s">
        <v>3821</v>
      </c>
      <c r="B388" s="17">
        <v>1.0</v>
      </c>
    </row>
    <row r="389" ht="15.75" customHeight="1">
      <c r="A389" s="18" t="s">
        <v>3822</v>
      </c>
      <c r="B389" s="18">
        <v>1.0</v>
      </c>
    </row>
    <row r="390" ht="15.75" customHeight="1">
      <c r="A390" s="17" t="s">
        <v>3823</v>
      </c>
      <c r="B390" s="17">
        <v>1.0</v>
      </c>
    </row>
    <row r="391" ht="15.75" customHeight="1">
      <c r="A391" s="18" t="s">
        <v>3824</v>
      </c>
      <c r="B391" s="18">
        <v>1.0</v>
      </c>
    </row>
    <row r="392" ht="15.75" customHeight="1">
      <c r="A392" s="17" t="s">
        <v>3825</v>
      </c>
      <c r="B392" s="17">
        <v>1.0</v>
      </c>
    </row>
    <row r="393" ht="15.75" customHeight="1">
      <c r="A393" s="18" t="s">
        <v>3826</v>
      </c>
      <c r="B393" s="18">
        <v>1.0</v>
      </c>
    </row>
    <row r="394" ht="15.75" customHeight="1">
      <c r="A394" s="17" t="s">
        <v>3827</v>
      </c>
      <c r="B394" s="17">
        <v>1.0</v>
      </c>
    </row>
    <row r="395" ht="15.75" customHeight="1">
      <c r="A395" s="18" t="s">
        <v>3828</v>
      </c>
      <c r="B395" s="18">
        <v>1.0</v>
      </c>
    </row>
    <row r="396" ht="15.75" customHeight="1">
      <c r="A396" s="17" t="s">
        <v>3829</v>
      </c>
      <c r="B396" s="17">
        <v>1.0</v>
      </c>
    </row>
    <row r="397" ht="15.75" customHeight="1">
      <c r="A397" s="18" t="s">
        <v>3830</v>
      </c>
      <c r="B397" s="18">
        <v>1.0</v>
      </c>
    </row>
    <row r="398" ht="15.75" customHeight="1">
      <c r="A398" s="17" t="s">
        <v>3831</v>
      </c>
      <c r="B398" s="17">
        <v>1.0</v>
      </c>
    </row>
    <row r="399" ht="15.75" customHeight="1">
      <c r="A399" s="18" t="s">
        <v>3832</v>
      </c>
      <c r="B399" s="18">
        <v>1.0</v>
      </c>
    </row>
    <row r="400" ht="15.75" customHeight="1">
      <c r="A400" s="17" t="s">
        <v>3833</v>
      </c>
      <c r="B400" s="17">
        <v>1.0</v>
      </c>
    </row>
    <row r="401" ht="15.75" customHeight="1">
      <c r="A401" s="18" t="s">
        <v>3834</v>
      </c>
      <c r="B401" s="18">
        <v>1.0</v>
      </c>
    </row>
    <row r="402" ht="15.75" customHeight="1">
      <c r="A402" s="17" t="s">
        <v>3835</v>
      </c>
      <c r="B402" s="17">
        <v>1.0</v>
      </c>
    </row>
    <row r="403" ht="15.75" customHeight="1">
      <c r="A403" s="18" t="s">
        <v>3836</v>
      </c>
      <c r="B403" s="18">
        <v>1.0</v>
      </c>
    </row>
    <row r="404" ht="15.75" customHeight="1">
      <c r="A404" s="17" t="s">
        <v>3837</v>
      </c>
      <c r="B404" s="17">
        <v>1.0</v>
      </c>
    </row>
    <row r="405" ht="15.75" customHeight="1">
      <c r="A405" s="18" t="s">
        <v>3838</v>
      </c>
      <c r="B405" s="18">
        <v>1.0</v>
      </c>
    </row>
    <row r="406" ht="15.75" customHeight="1">
      <c r="A406" s="17" t="s">
        <v>3839</v>
      </c>
      <c r="B406" s="17">
        <v>1.0</v>
      </c>
    </row>
    <row r="407" ht="15.75" customHeight="1">
      <c r="A407" s="18" t="s">
        <v>3840</v>
      </c>
      <c r="B407" s="18">
        <v>1.0</v>
      </c>
    </row>
    <row r="408" ht="15.75" customHeight="1">
      <c r="A408" s="17" t="s">
        <v>3841</v>
      </c>
      <c r="B408" s="17">
        <v>1.0</v>
      </c>
    </row>
    <row r="409" ht="15.75" customHeight="1">
      <c r="A409" s="18" t="s">
        <v>3842</v>
      </c>
      <c r="B409" s="18">
        <v>1.0</v>
      </c>
    </row>
    <row r="410" ht="15.75" customHeight="1">
      <c r="A410" s="17" t="s">
        <v>3843</v>
      </c>
      <c r="B410" s="17">
        <v>1.0</v>
      </c>
    </row>
    <row r="411" ht="15.75" customHeight="1">
      <c r="A411" s="18" t="s">
        <v>3844</v>
      </c>
      <c r="B411" s="18">
        <v>1.0</v>
      </c>
    </row>
    <row r="412" ht="15.75" customHeight="1">
      <c r="A412" s="17" t="s">
        <v>3845</v>
      </c>
      <c r="B412" s="17">
        <v>1.0</v>
      </c>
    </row>
    <row r="413" ht="15.75" customHeight="1">
      <c r="A413" s="18" t="s">
        <v>3846</v>
      </c>
      <c r="B413" s="18">
        <v>1.0</v>
      </c>
    </row>
    <row r="414" ht="15.75" customHeight="1">
      <c r="A414" s="17" t="s">
        <v>3847</v>
      </c>
      <c r="B414" s="17">
        <v>1.0</v>
      </c>
    </row>
    <row r="415" ht="15.75" customHeight="1">
      <c r="A415" s="18" t="s">
        <v>3848</v>
      </c>
      <c r="B415" s="18">
        <v>1.0</v>
      </c>
    </row>
    <row r="416" ht="15.75" customHeight="1">
      <c r="A416" s="17" t="s">
        <v>3849</v>
      </c>
      <c r="B416" s="17">
        <v>1.0</v>
      </c>
    </row>
    <row r="417" ht="15.75" customHeight="1">
      <c r="A417" s="18" t="s">
        <v>3850</v>
      </c>
      <c r="B417" s="18">
        <v>1.0</v>
      </c>
    </row>
    <row r="418" ht="15.75" customHeight="1">
      <c r="A418" s="17" t="s">
        <v>3851</v>
      </c>
      <c r="B418" s="17">
        <v>1.0</v>
      </c>
    </row>
    <row r="419" ht="15.75" customHeight="1">
      <c r="A419" s="18" t="s">
        <v>3852</v>
      </c>
      <c r="B419" s="18">
        <v>1.0</v>
      </c>
    </row>
    <row r="420" ht="15.75" customHeight="1">
      <c r="A420" s="17" t="s">
        <v>3853</v>
      </c>
      <c r="B420" s="17">
        <v>1.0</v>
      </c>
    </row>
    <row r="421" ht="15.75" customHeight="1">
      <c r="A421" s="18" t="s">
        <v>3854</v>
      </c>
      <c r="B421" s="18">
        <v>1.0</v>
      </c>
    </row>
    <row r="422" ht="15.75" customHeight="1">
      <c r="A422" s="17" t="s">
        <v>3855</v>
      </c>
      <c r="B422" s="17">
        <v>1.0</v>
      </c>
    </row>
    <row r="423" ht="15.75" customHeight="1">
      <c r="A423" s="18" t="s">
        <v>3856</v>
      </c>
      <c r="B423" s="18">
        <v>1.0</v>
      </c>
    </row>
    <row r="424" ht="15.75" customHeight="1">
      <c r="A424" s="17" t="s">
        <v>3857</v>
      </c>
      <c r="B424" s="17">
        <v>1.0</v>
      </c>
    </row>
    <row r="425" ht="15.75" customHeight="1">
      <c r="A425" s="18" t="s">
        <v>3858</v>
      </c>
      <c r="B425" s="18">
        <v>1.0</v>
      </c>
    </row>
    <row r="426" ht="15.75" customHeight="1">
      <c r="A426" s="17" t="s">
        <v>3859</v>
      </c>
      <c r="B426" s="17">
        <v>1.0</v>
      </c>
    </row>
    <row r="427" ht="15.75" customHeight="1">
      <c r="A427" s="18" t="s">
        <v>3860</v>
      </c>
      <c r="B427" s="18">
        <v>1.0</v>
      </c>
    </row>
    <row r="428" ht="15.75" customHeight="1">
      <c r="A428" s="17" t="s">
        <v>3861</v>
      </c>
      <c r="B428" s="17">
        <v>1.0</v>
      </c>
    </row>
    <row r="429" ht="15.75" customHeight="1">
      <c r="A429" s="18" t="s">
        <v>3862</v>
      </c>
      <c r="B429" s="18">
        <v>1.0</v>
      </c>
    </row>
    <row r="430" ht="15.75" customHeight="1">
      <c r="A430" s="17" t="s">
        <v>3863</v>
      </c>
      <c r="B430" s="17">
        <v>1.0</v>
      </c>
    </row>
    <row r="431" ht="15.75" customHeight="1">
      <c r="A431" s="18" t="s">
        <v>3864</v>
      </c>
      <c r="B431" s="18">
        <v>1.0</v>
      </c>
    </row>
    <row r="432" ht="15.75" customHeight="1">
      <c r="A432" s="17" t="s">
        <v>3865</v>
      </c>
      <c r="B432" s="17">
        <v>1.0</v>
      </c>
    </row>
    <row r="433" ht="15.75" customHeight="1">
      <c r="A433" s="18" t="s">
        <v>3866</v>
      </c>
      <c r="B433" s="18">
        <v>1.0</v>
      </c>
    </row>
    <row r="434" ht="15.75" customHeight="1">
      <c r="A434" s="17" t="s">
        <v>3867</v>
      </c>
      <c r="B434" s="17">
        <v>1.0</v>
      </c>
    </row>
    <row r="435" ht="15.75" customHeight="1">
      <c r="A435" s="18" t="s">
        <v>3868</v>
      </c>
      <c r="B435" s="18">
        <v>1.0</v>
      </c>
    </row>
    <row r="436" ht="15.75" customHeight="1">
      <c r="A436" s="17" t="s">
        <v>3869</v>
      </c>
      <c r="B436" s="17">
        <v>1.0</v>
      </c>
    </row>
    <row r="437" ht="15.75" customHeight="1">
      <c r="A437" s="18" t="s">
        <v>3870</v>
      </c>
      <c r="B437" s="18">
        <v>1.0</v>
      </c>
    </row>
    <row r="438" ht="15.75" customHeight="1">
      <c r="A438" s="17" t="s">
        <v>3871</v>
      </c>
      <c r="B438" s="17">
        <v>1.0</v>
      </c>
    </row>
    <row r="439" ht="15.75" customHeight="1">
      <c r="A439" s="18" t="s">
        <v>3872</v>
      </c>
      <c r="B439" s="18">
        <v>1.0</v>
      </c>
    </row>
    <row r="440" ht="15.75" customHeight="1">
      <c r="A440" s="17" t="s">
        <v>3873</v>
      </c>
      <c r="B440" s="17">
        <v>1.0</v>
      </c>
    </row>
    <row r="441" ht="15.75" customHeight="1">
      <c r="A441" s="18" t="s">
        <v>3874</v>
      </c>
      <c r="B441" s="18">
        <v>1.0</v>
      </c>
    </row>
    <row r="442" ht="15.75" customHeight="1">
      <c r="A442" s="17" t="s">
        <v>3875</v>
      </c>
      <c r="B442" s="17">
        <v>1.0</v>
      </c>
    </row>
    <row r="443" ht="15.75" customHeight="1">
      <c r="A443" s="18" t="s">
        <v>3876</v>
      </c>
      <c r="B443" s="18">
        <v>1.0</v>
      </c>
    </row>
    <row r="444" ht="15.75" customHeight="1">
      <c r="A444" s="17" t="s">
        <v>3877</v>
      </c>
      <c r="B444" s="17">
        <v>1.0</v>
      </c>
    </row>
    <row r="445" ht="15.75" customHeight="1">
      <c r="A445" s="18" t="s">
        <v>3878</v>
      </c>
      <c r="B445" s="18">
        <v>1.0</v>
      </c>
    </row>
    <row r="446" ht="15.75" customHeight="1">
      <c r="A446" s="17" t="s">
        <v>3879</v>
      </c>
      <c r="B446" s="17">
        <v>1.0</v>
      </c>
    </row>
    <row r="447" ht="15.75" customHeight="1">
      <c r="A447" s="18" t="s">
        <v>3880</v>
      </c>
      <c r="B447" s="18">
        <v>1.0</v>
      </c>
    </row>
    <row r="448" ht="15.75" customHeight="1">
      <c r="A448" s="17" t="s">
        <v>3881</v>
      </c>
      <c r="B448" s="17">
        <v>1.0</v>
      </c>
    </row>
    <row r="449" ht="15.75" customHeight="1">
      <c r="A449" s="18" t="s">
        <v>3882</v>
      </c>
      <c r="B449" s="18">
        <v>1.0</v>
      </c>
    </row>
    <row r="450" ht="15.75" customHeight="1">
      <c r="A450" s="17" t="s">
        <v>3883</v>
      </c>
      <c r="B450" s="17">
        <v>1.0</v>
      </c>
    </row>
    <row r="451" ht="15.75" customHeight="1">
      <c r="A451" s="18" t="s">
        <v>3884</v>
      </c>
      <c r="B451" s="18">
        <v>1.0</v>
      </c>
    </row>
    <row r="452" ht="15.75" customHeight="1">
      <c r="A452" s="17" t="s">
        <v>3885</v>
      </c>
      <c r="B452" s="17">
        <v>1.0</v>
      </c>
    </row>
    <row r="453" ht="15.75" customHeight="1">
      <c r="A453" s="18" t="s">
        <v>3886</v>
      </c>
      <c r="B453" s="18">
        <v>1.0</v>
      </c>
    </row>
    <row r="454" ht="15.75" customHeight="1">
      <c r="A454" s="17" t="s">
        <v>3887</v>
      </c>
      <c r="B454" s="17">
        <v>1.0</v>
      </c>
    </row>
    <row r="455" ht="15.75" customHeight="1">
      <c r="A455" s="18" t="s">
        <v>3888</v>
      </c>
      <c r="B455" s="18">
        <v>1.0</v>
      </c>
    </row>
    <row r="456" ht="15.75" customHeight="1">
      <c r="A456" s="17" t="s">
        <v>3889</v>
      </c>
      <c r="B456" s="17">
        <v>1.0</v>
      </c>
    </row>
    <row r="457" ht="15.75" customHeight="1">
      <c r="A457" s="18" t="s">
        <v>3890</v>
      </c>
      <c r="B457" s="18">
        <v>1.0</v>
      </c>
    </row>
    <row r="458" ht="15.75" customHeight="1">
      <c r="A458" s="17" t="s">
        <v>3891</v>
      </c>
      <c r="B458" s="17">
        <v>1.0</v>
      </c>
    </row>
    <row r="459" ht="15.75" customHeight="1">
      <c r="A459" s="18" t="s">
        <v>3892</v>
      </c>
      <c r="B459" s="18">
        <v>1.0</v>
      </c>
    </row>
    <row r="460" ht="15.75" customHeight="1">
      <c r="A460" s="17" t="s">
        <v>3893</v>
      </c>
      <c r="B460" s="17">
        <v>1.0</v>
      </c>
    </row>
    <row r="461" ht="15.75" customHeight="1">
      <c r="A461" s="18" t="s">
        <v>3894</v>
      </c>
      <c r="B461" s="18">
        <v>1.0</v>
      </c>
    </row>
    <row r="462" ht="15.75" customHeight="1">
      <c r="A462" s="17" t="s">
        <v>3895</v>
      </c>
      <c r="B462" s="17">
        <v>1.0</v>
      </c>
    </row>
    <row r="463" ht="15.75" customHeight="1">
      <c r="A463" s="18" t="s">
        <v>3896</v>
      </c>
      <c r="B463" s="18">
        <v>1.0</v>
      </c>
    </row>
    <row r="464" ht="15.75" customHeight="1">
      <c r="A464" s="17" t="s">
        <v>3897</v>
      </c>
      <c r="B464" s="17">
        <v>1.0</v>
      </c>
    </row>
    <row r="465" ht="15.75" customHeight="1">
      <c r="A465" s="18" t="s">
        <v>3898</v>
      </c>
      <c r="B465" s="18">
        <v>1.0</v>
      </c>
    </row>
    <row r="466" ht="15.75" customHeight="1">
      <c r="A466" s="17" t="s">
        <v>3899</v>
      </c>
      <c r="B466" s="17">
        <v>1.0</v>
      </c>
    </row>
    <row r="467" ht="15.75" customHeight="1">
      <c r="A467" s="18" t="s">
        <v>3900</v>
      </c>
      <c r="B467" s="18">
        <v>1.0</v>
      </c>
    </row>
    <row r="468" ht="15.75" customHeight="1">
      <c r="A468" s="17" t="s">
        <v>3901</v>
      </c>
      <c r="B468" s="17">
        <v>1.0</v>
      </c>
    </row>
    <row r="469" ht="15.75" customHeight="1">
      <c r="A469" s="18" t="s">
        <v>3902</v>
      </c>
      <c r="B469" s="18">
        <v>1.0</v>
      </c>
    </row>
    <row r="470" ht="15.75" customHeight="1">
      <c r="A470" s="17" t="s">
        <v>3903</v>
      </c>
      <c r="B470" s="17">
        <v>1.0</v>
      </c>
    </row>
    <row r="471" ht="15.75" customHeight="1">
      <c r="A471" s="18" t="s">
        <v>3904</v>
      </c>
      <c r="B471" s="18">
        <v>1.0</v>
      </c>
    </row>
    <row r="472" ht="15.75" customHeight="1">
      <c r="A472" s="17" t="s">
        <v>3905</v>
      </c>
      <c r="B472" s="17">
        <v>1.0</v>
      </c>
    </row>
    <row r="473" ht="15.75" customHeight="1">
      <c r="A473" s="18" t="s">
        <v>3906</v>
      </c>
      <c r="B473" s="18">
        <v>1.0</v>
      </c>
    </row>
    <row r="474" ht="15.75" customHeight="1">
      <c r="A474" s="17" t="s">
        <v>3907</v>
      </c>
      <c r="B474" s="17">
        <v>1.0</v>
      </c>
    </row>
    <row r="475" ht="15.75" customHeight="1">
      <c r="A475" s="18" t="s">
        <v>3908</v>
      </c>
      <c r="B475" s="18">
        <v>1.0</v>
      </c>
    </row>
    <row r="476" ht="15.75" customHeight="1">
      <c r="A476" s="17" t="s">
        <v>3909</v>
      </c>
      <c r="B476" s="17">
        <v>1.0</v>
      </c>
    </row>
    <row r="477" ht="15.75" customHeight="1">
      <c r="A477" s="18" t="s">
        <v>3910</v>
      </c>
      <c r="B477" s="18">
        <v>1.0</v>
      </c>
    </row>
    <row r="478" ht="15.75" customHeight="1">
      <c r="A478" s="17" t="s">
        <v>3911</v>
      </c>
      <c r="B478" s="17">
        <v>1.0</v>
      </c>
    </row>
    <row r="479" ht="15.75" customHeight="1">
      <c r="A479" s="18" t="s">
        <v>3912</v>
      </c>
      <c r="B479" s="18">
        <v>1.0</v>
      </c>
    </row>
    <row r="480" ht="15.75" customHeight="1">
      <c r="A480" s="17" t="s">
        <v>3913</v>
      </c>
      <c r="B480" s="17">
        <v>1.0</v>
      </c>
    </row>
    <row r="481" ht="15.75" customHeight="1">
      <c r="A481" s="18" t="s">
        <v>3914</v>
      </c>
      <c r="B481" s="18">
        <v>1.0</v>
      </c>
    </row>
    <row r="482" ht="15.75" customHeight="1">
      <c r="A482" s="17" t="s">
        <v>3915</v>
      </c>
      <c r="B482" s="17">
        <v>1.0</v>
      </c>
    </row>
    <row r="483" ht="15.75" customHeight="1">
      <c r="A483" s="18" t="s">
        <v>3916</v>
      </c>
      <c r="B483" s="18">
        <v>1.0</v>
      </c>
    </row>
    <row r="484" ht="15.75" customHeight="1">
      <c r="A484" s="17" t="s">
        <v>3917</v>
      </c>
      <c r="B484" s="17">
        <v>1.0</v>
      </c>
    </row>
    <row r="485" ht="15.75" customHeight="1">
      <c r="A485" s="18" t="s">
        <v>3918</v>
      </c>
      <c r="B485" s="18">
        <v>1.0</v>
      </c>
    </row>
    <row r="486" ht="15.75" customHeight="1">
      <c r="A486" s="17" t="s">
        <v>3919</v>
      </c>
      <c r="B486" s="17">
        <v>1.0</v>
      </c>
    </row>
    <row r="487" ht="15.75" customHeight="1">
      <c r="A487" s="18" t="s">
        <v>3920</v>
      </c>
      <c r="B487" s="18">
        <v>1.0</v>
      </c>
    </row>
    <row r="488" ht="15.75" customHeight="1">
      <c r="A488" s="17" t="s">
        <v>3921</v>
      </c>
      <c r="B488" s="17">
        <v>1.0</v>
      </c>
    </row>
    <row r="489" ht="15.75" customHeight="1">
      <c r="A489" s="18" t="s">
        <v>3922</v>
      </c>
      <c r="B489" s="18">
        <v>1.0</v>
      </c>
    </row>
    <row r="490" ht="15.75" customHeight="1">
      <c r="A490" s="17" t="s">
        <v>3923</v>
      </c>
      <c r="B490" s="17">
        <v>1.0</v>
      </c>
    </row>
    <row r="491" ht="15.75" customHeight="1">
      <c r="A491" s="18" t="s">
        <v>3924</v>
      </c>
      <c r="B491" s="18">
        <v>1.0</v>
      </c>
    </row>
    <row r="492" ht="15.75" customHeight="1">
      <c r="A492" s="17" t="s">
        <v>3925</v>
      </c>
      <c r="B492" s="17">
        <v>1.0</v>
      </c>
    </row>
    <row r="493" ht="15.75" customHeight="1">
      <c r="A493" s="18" t="s">
        <v>3926</v>
      </c>
      <c r="B493" s="18">
        <v>1.0</v>
      </c>
    </row>
    <row r="494" ht="15.75" customHeight="1">
      <c r="A494" s="17" t="s">
        <v>3927</v>
      </c>
      <c r="B494" s="17">
        <v>1.0</v>
      </c>
    </row>
    <row r="495" ht="15.75" customHeight="1">
      <c r="A495" s="18" t="s">
        <v>3928</v>
      </c>
      <c r="B495" s="18">
        <v>1.0</v>
      </c>
    </row>
    <row r="496" ht="15.75" customHeight="1">
      <c r="A496" s="17" t="s">
        <v>3929</v>
      </c>
      <c r="B496" s="17">
        <v>1.0</v>
      </c>
    </row>
    <row r="497" ht="15.75" customHeight="1">
      <c r="A497" s="18" t="s">
        <v>3930</v>
      </c>
      <c r="B497" s="18">
        <v>1.0</v>
      </c>
    </row>
    <row r="498" ht="15.75" customHeight="1">
      <c r="A498" s="17" t="s">
        <v>3931</v>
      </c>
      <c r="B498" s="17">
        <v>1.0</v>
      </c>
    </row>
    <row r="499" ht="15.75" customHeight="1">
      <c r="A499" s="18" t="s">
        <v>3932</v>
      </c>
      <c r="B499" s="18">
        <v>1.0</v>
      </c>
    </row>
    <row r="500" ht="15.75" customHeight="1">
      <c r="A500" s="17" t="s">
        <v>3933</v>
      </c>
      <c r="B500" s="17">
        <v>1.0</v>
      </c>
    </row>
    <row r="501" ht="15.75" customHeight="1">
      <c r="A501" s="18" t="s">
        <v>3934</v>
      </c>
      <c r="B501" s="18">
        <v>1.0</v>
      </c>
    </row>
    <row r="502" ht="15.75" customHeight="1">
      <c r="A502" s="17" t="s">
        <v>3935</v>
      </c>
      <c r="B502" s="17">
        <v>1.0</v>
      </c>
    </row>
    <row r="503" ht="15.75" customHeight="1">
      <c r="A503" s="18" t="s">
        <v>3936</v>
      </c>
      <c r="B503" s="18">
        <v>1.0</v>
      </c>
    </row>
    <row r="504" ht="15.75" customHeight="1">
      <c r="A504" s="17" t="s">
        <v>3937</v>
      </c>
      <c r="B504" s="17">
        <v>1.0</v>
      </c>
    </row>
    <row r="505" ht="15.75" customHeight="1">
      <c r="A505" s="18" t="s">
        <v>3938</v>
      </c>
      <c r="B505" s="18">
        <v>1.0</v>
      </c>
    </row>
    <row r="506" ht="15.75" customHeight="1">
      <c r="A506" s="17" t="s">
        <v>3939</v>
      </c>
      <c r="B506" s="17">
        <v>1.0</v>
      </c>
    </row>
    <row r="507" ht="15.75" customHeight="1">
      <c r="A507" s="18" t="s">
        <v>3940</v>
      </c>
      <c r="B507" s="18">
        <v>1.0</v>
      </c>
    </row>
    <row r="508" ht="15.75" customHeight="1">
      <c r="A508" s="17" t="s">
        <v>3941</v>
      </c>
      <c r="B508" s="17">
        <v>1.0</v>
      </c>
    </row>
    <row r="509" ht="15.75" customHeight="1">
      <c r="A509" s="18" t="s">
        <v>3942</v>
      </c>
      <c r="B509" s="18">
        <v>1.0</v>
      </c>
    </row>
    <row r="510" ht="15.75" customHeight="1">
      <c r="A510" s="17" t="s">
        <v>3943</v>
      </c>
      <c r="B510" s="17">
        <v>1.0</v>
      </c>
    </row>
    <row r="511" ht="15.75" customHeight="1">
      <c r="A511" s="18" t="s">
        <v>3944</v>
      </c>
      <c r="B511" s="18">
        <v>1.0</v>
      </c>
    </row>
    <row r="512" ht="15.75" customHeight="1">
      <c r="A512" s="17" t="s">
        <v>3945</v>
      </c>
      <c r="B512" s="17">
        <v>1.0</v>
      </c>
    </row>
    <row r="513" ht="15.75" customHeight="1">
      <c r="A513" s="18" t="s">
        <v>3946</v>
      </c>
      <c r="B513" s="18">
        <v>1.0</v>
      </c>
    </row>
    <row r="514" ht="15.75" customHeight="1">
      <c r="A514" s="17" t="s">
        <v>3947</v>
      </c>
      <c r="B514" s="17">
        <v>1.0</v>
      </c>
    </row>
    <row r="515" ht="15.75" customHeight="1">
      <c r="A515" s="18" t="s">
        <v>3948</v>
      </c>
      <c r="B515" s="18">
        <v>1.0</v>
      </c>
    </row>
    <row r="516" ht="15.75" customHeight="1">
      <c r="A516" s="17" t="s">
        <v>3949</v>
      </c>
      <c r="B516" s="17">
        <v>1.0</v>
      </c>
    </row>
    <row r="517" ht="15.75" customHeight="1">
      <c r="A517" s="18" t="s">
        <v>3950</v>
      </c>
      <c r="B517" s="18">
        <v>1.0</v>
      </c>
    </row>
    <row r="518" ht="15.75" customHeight="1">
      <c r="A518" s="17" t="s">
        <v>3951</v>
      </c>
      <c r="B518" s="17">
        <v>1.0</v>
      </c>
    </row>
    <row r="519" ht="15.75" customHeight="1">
      <c r="A519" s="18" t="s">
        <v>3952</v>
      </c>
      <c r="B519" s="18">
        <v>1.0</v>
      </c>
    </row>
    <row r="520" ht="15.75" customHeight="1">
      <c r="A520" s="17" t="s">
        <v>3953</v>
      </c>
      <c r="B520" s="17">
        <v>1.0</v>
      </c>
    </row>
    <row r="521" ht="15.75" customHeight="1">
      <c r="A521" s="18" t="s">
        <v>3954</v>
      </c>
      <c r="B521" s="18">
        <v>1.0</v>
      </c>
    </row>
    <row r="522" ht="15.75" customHeight="1">
      <c r="A522" s="17" t="s">
        <v>3955</v>
      </c>
      <c r="B522" s="17">
        <v>1.0</v>
      </c>
    </row>
    <row r="523" ht="15.75" customHeight="1">
      <c r="A523" s="18" t="s">
        <v>3956</v>
      </c>
      <c r="B523" s="18">
        <v>1.0</v>
      </c>
    </row>
    <row r="524" ht="15.75" customHeight="1">
      <c r="A524" s="17" t="s">
        <v>3957</v>
      </c>
      <c r="B524" s="17">
        <v>1.0</v>
      </c>
    </row>
    <row r="525" ht="15.75" customHeight="1">
      <c r="A525" s="18" t="s">
        <v>3958</v>
      </c>
      <c r="B525" s="18">
        <v>1.0</v>
      </c>
    </row>
    <row r="526" ht="15.75" customHeight="1">
      <c r="A526" s="17" t="s">
        <v>3959</v>
      </c>
      <c r="B526" s="17">
        <v>1.0</v>
      </c>
    </row>
    <row r="527" ht="15.75" customHeight="1">
      <c r="A527" s="18" t="s">
        <v>3960</v>
      </c>
      <c r="B527" s="18">
        <v>1.0</v>
      </c>
    </row>
    <row r="528" ht="15.75" customHeight="1">
      <c r="A528" s="17" t="s">
        <v>3961</v>
      </c>
      <c r="B528" s="17">
        <v>1.0</v>
      </c>
    </row>
    <row r="529" ht="15.75" customHeight="1">
      <c r="A529" s="18" t="s">
        <v>3962</v>
      </c>
      <c r="B529" s="18">
        <v>1.0</v>
      </c>
    </row>
    <row r="530" ht="15.75" customHeight="1">
      <c r="A530" s="17" t="s">
        <v>3963</v>
      </c>
      <c r="B530" s="17">
        <v>1.0</v>
      </c>
    </row>
    <row r="531" ht="15.75" customHeight="1">
      <c r="A531" s="18" t="s">
        <v>3964</v>
      </c>
      <c r="B531" s="18">
        <v>1.0</v>
      </c>
    </row>
    <row r="532" ht="15.75" customHeight="1">
      <c r="A532" s="17" t="s">
        <v>3965</v>
      </c>
      <c r="B532" s="17">
        <v>1.0</v>
      </c>
    </row>
    <row r="533" ht="15.75" customHeight="1">
      <c r="A533" s="18" t="s">
        <v>3966</v>
      </c>
      <c r="B533" s="18">
        <v>1.0</v>
      </c>
    </row>
    <row r="534" ht="15.75" customHeight="1">
      <c r="A534" s="17" t="s">
        <v>3967</v>
      </c>
      <c r="B534" s="17">
        <v>1.0</v>
      </c>
    </row>
    <row r="535" ht="15.75" customHeight="1">
      <c r="A535" s="18" t="s">
        <v>3968</v>
      </c>
      <c r="B535" s="18">
        <v>1.0</v>
      </c>
    </row>
    <row r="536" ht="15.75" customHeight="1">
      <c r="A536" s="17" t="s">
        <v>3969</v>
      </c>
      <c r="B536" s="17">
        <v>1.0</v>
      </c>
    </row>
    <row r="537" ht="15.75" customHeight="1">
      <c r="A537" s="18" t="s">
        <v>3970</v>
      </c>
      <c r="B537" s="18">
        <v>1.0</v>
      </c>
    </row>
    <row r="538" ht="15.75" customHeight="1">
      <c r="A538" s="17" t="s">
        <v>3971</v>
      </c>
      <c r="B538" s="17">
        <v>1.0</v>
      </c>
    </row>
    <row r="539" ht="15.75" customHeight="1">
      <c r="A539" s="18" t="s">
        <v>3972</v>
      </c>
      <c r="B539" s="18">
        <v>1.0</v>
      </c>
    </row>
    <row r="540" ht="15.75" customHeight="1">
      <c r="A540" s="17" t="s">
        <v>3973</v>
      </c>
      <c r="B540" s="17">
        <v>1.0</v>
      </c>
    </row>
    <row r="541" ht="15.75" customHeight="1">
      <c r="A541" s="18" t="s">
        <v>3974</v>
      </c>
      <c r="B541" s="18">
        <v>1.0</v>
      </c>
    </row>
    <row r="542" ht="15.75" customHeight="1">
      <c r="A542" s="17" t="s">
        <v>3975</v>
      </c>
      <c r="B542" s="17">
        <v>1.0</v>
      </c>
    </row>
    <row r="543" ht="15.75" customHeight="1">
      <c r="A543" s="18" t="s">
        <v>3976</v>
      </c>
      <c r="B543" s="18">
        <v>1.0</v>
      </c>
    </row>
    <row r="544" ht="15.75" customHeight="1">
      <c r="A544" s="17" t="s">
        <v>3977</v>
      </c>
      <c r="B544" s="17">
        <v>1.0</v>
      </c>
    </row>
    <row r="545" ht="15.75" customHeight="1">
      <c r="A545" s="18" t="s">
        <v>3978</v>
      </c>
      <c r="B545" s="18">
        <v>1.0</v>
      </c>
    </row>
    <row r="546" ht="15.75" customHeight="1">
      <c r="A546" s="17" t="s">
        <v>3979</v>
      </c>
      <c r="B546" s="17">
        <v>1.0</v>
      </c>
    </row>
    <row r="547" ht="15.75" customHeight="1">
      <c r="A547" s="18" t="s">
        <v>3980</v>
      </c>
      <c r="B547" s="18">
        <v>1.0</v>
      </c>
    </row>
    <row r="548" ht="15.75" customHeight="1">
      <c r="A548" s="17" t="s">
        <v>3981</v>
      </c>
      <c r="B548" s="17">
        <v>1.0</v>
      </c>
    </row>
    <row r="549" ht="15.75" customHeight="1">
      <c r="A549" s="18" t="s">
        <v>3982</v>
      </c>
      <c r="B549" s="18">
        <v>1.0</v>
      </c>
    </row>
    <row r="550" ht="15.75" customHeight="1">
      <c r="A550" s="17" t="s">
        <v>3983</v>
      </c>
      <c r="B550" s="17">
        <v>1.0</v>
      </c>
    </row>
    <row r="551" ht="15.75" customHeight="1">
      <c r="A551" s="18" t="s">
        <v>3984</v>
      </c>
      <c r="B551" s="18">
        <v>1.0</v>
      </c>
    </row>
    <row r="552" ht="15.75" customHeight="1">
      <c r="A552" s="17" t="s">
        <v>3985</v>
      </c>
      <c r="B552" s="17">
        <v>1.0</v>
      </c>
    </row>
    <row r="553" ht="15.75" customHeight="1">
      <c r="A553" s="18" t="s">
        <v>3986</v>
      </c>
      <c r="B553" s="18">
        <v>1.0</v>
      </c>
    </row>
    <row r="554" ht="15.75" customHeight="1">
      <c r="A554" s="17" t="s">
        <v>3987</v>
      </c>
      <c r="B554" s="17">
        <v>1.0</v>
      </c>
    </row>
    <row r="555" ht="15.75" customHeight="1">
      <c r="A555" s="18" t="s">
        <v>3988</v>
      </c>
      <c r="B555" s="18">
        <v>1.0</v>
      </c>
    </row>
    <row r="556" ht="15.75" customHeight="1">
      <c r="A556" s="17" t="s">
        <v>3989</v>
      </c>
      <c r="B556" s="17">
        <v>1.0</v>
      </c>
    </row>
    <row r="557" ht="15.75" customHeight="1">
      <c r="A557" s="18" t="s">
        <v>3990</v>
      </c>
      <c r="B557" s="18">
        <v>1.0</v>
      </c>
    </row>
    <row r="558" ht="15.75" customHeight="1">
      <c r="A558" s="17" t="s">
        <v>3991</v>
      </c>
      <c r="B558" s="17">
        <v>1.0</v>
      </c>
    </row>
    <row r="559" ht="15.75" customHeight="1">
      <c r="A559" s="18" t="s">
        <v>3992</v>
      </c>
      <c r="B559" s="18">
        <v>1.0</v>
      </c>
    </row>
    <row r="560" ht="15.75" customHeight="1">
      <c r="A560" s="17" t="s">
        <v>3993</v>
      </c>
      <c r="B560" s="17">
        <v>1.0</v>
      </c>
    </row>
    <row r="561" ht="15.75" customHeight="1">
      <c r="A561" s="18" t="s">
        <v>3994</v>
      </c>
      <c r="B561" s="18">
        <v>1.0</v>
      </c>
    </row>
    <row r="562" ht="15.75" customHeight="1">
      <c r="A562" s="17" t="s">
        <v>3995</v>
      </c>
      <c r="B562" s="17">
        <v>1.0</v>
      </c>
    </row>
    <row r="563" ht="15.75" customHeight="1">
      <c r="A563" s="18" t="s">
        <v>3996</v>
      </c>
      <c r="B563" s="18">
        <v>1.0</v>
      </c>
    </row>
    <row r="564" ht="15.75" customHeight="1">
      <c r="A564" s="17" t="s">
        <v>3997</v>
      </c>
      <c r="B564" s="17">
        <v>1.0</v>
      </c>
    </row>
    <row r="565" ht="15.75" customHeight="1">
      <c r="A565" s="18" t="s">
        <v>3998</v>
      </c>
      <c r="B565" s="18">
        <v>1.0</v>
      </c>
    </row>
    <row r="566" ht="15.75" customHeight="1">
      <c r="A566" s="17" t="s">
        <v>3999</v>
      </c>
      <c r="B566" s="17">
        <v>1.0</v>
      </c>
    </row>
    <row r="567" ht="15.75" customHeight="1">
      <c r="A567" s="18" t="s">
        <v>4000</v>
      </c>
      <c r="B567" s="18">
        <v>1.0</v>
      </c>
    </row>
    <row r="568" ht="15.75" customHeight="1">
      <c r="A568" s="17" t="s">
        <v>4001</v>
      </c>
      <c r="B568" s="17">
        <v>1.0</v>
      </c>
    </row>
    <row r="569" ht="15.75" customHeight="1">
      <c r="A569" s="18" t="s">
        <v>4002</v>
      </c>
      <c r="B569" s="18">
        <v>1.0</v>
      </c>
    </row>
    <row r="570" ht="15.75" customHeight="1">
      <c r="A570" s="17" t="s">
        <v>4003</v>
      </c>
      <c r="B570" s="17">
        <v>1.0</v>
      </c>
    </row>
    <row r="571" ht="15.75" customHeight="1">
      <c r="A571" s="18" t="s">
        <v>4004</v>
      </c>
      <c r="B571" s="18">
        <v>1.0</v>
      </c>
    </row>
    <row r="572" ht="15.75" customHeight="1">
      <c r="A572" s="17" t="s">
        <v>4005</v>
      </c>
      <c r="B572" s="17">
        <v>1.0</v>
      </c>
    </row>
    <row r="573" ht="15.75" customHeight="1">
      <c r="A573" s="18" t="s">
        <v>4006</v>
      </c>
      <c r="B573" s="18">
        <v>1.0</v>
      </c>
    </row>
    <row r="574" ht="15.75" customHeight="1">
      <c r="A574" s="17" t="s">
        <v>4007</v>
      </c>
      <c r="B574" s="17">
        <v>1.0</v>
      </c>
    </row>
    <row r="575" ht="15.75" customHeight="1">
      <c r="A575" s="18" t="s">
        <v>4008</v>
      </c>
      <c r="B575" s="18">
        <v>1.0</v>
      </c>
    </row>
    <row r="576" ht="15.75" customHeight="1">
      <c r="A576" s="17" t="s">
        <v>4009</v>
      </c>
      <c r="B576" s="17">
        <v>1.0</v>
      </c>
    </row>
    <row r="577" ht="15.75" customHeight="1">
      <c r="A577" s="18" t="s">
        <v>4010</v>
      </c>
      <c r="B577" s="18">
        <v>1.0</v>
      </c>
    </row>
    <row r="578" ht="15.75" customHeight="1">
      <c r="A578" s="17" t="s">
        <v>4011</v>
      </c>
      <c r="B578" s="17">
        <v>1.0</v>
      </c>
    </row>
    <row r="579" ht="15.75" customHeight="1">
      <c r="A579" s="18" t="s">
        <v>4012</v>
      </c>
      <c r="B579" s="18">
        <v>1.0</v>
      </c>
    </row>
    <row r="580" ht="15.75" customHeight="1">
      <c r="A580" s="17" t="s">
        <v>4013</v>
      </c>
      <c r="B580" s="17">
        <v>1.0</v>
      </c>
    </row>
    <row r="581" ht="15.75" customHeight="1">
      <c r="A581" s="18" t="s">
        <v>4014</v>
      </c>
      <c r="B581" s="18">
        <v>1.0</v>
      </c>
    </row>
    <row r="582" ht="15.75" customHeight="1">
      <c r="A582" s="17" t="s">
        <v>4015</v>
      </c>
      <c r="B582" s="17">
        <v>1.0</v>
      </c>
    </row>
    <row r="583" ht="15.75" customHeight="1">
      <c r="A583" s="18" t="s">
        <v>4016</v>
      </c>
      <c r="B583" s="18">
        <v>1.0</v>
      </c>
    </row>
    <row r="584" ht="15.75" customHeight="1">
      <c r="A584" s="17" t="s">
        <v>4017</v>
      </c>
      <c r="B584" s="17">
        <v>1.0</v>
      </c>
    </row>
    <row r="585" ht="15.75" customHeight="1">
      <c r="A585" s="18" t="s">
        <v>4018</v>
      </c>
      <c r="B585" s="18">
        <v>1.0</v>
      </c>
    </row>
    <row r="586" ht="15.75" customHeight="1">
      <c r="A586" s="17" t="s">
        <v>4019</v>
      </c>
      <c r="B586" s="17">
        <v>1.0</v>
      </c>
    </row>
    <row r="587" ht="15.75" customHeight="1">
      <c r="A587" s="18" t="s">
        <v>4020</v>
      </c>
      <c r="B587" s="18">
        <v>1.0</v>
      </c>
    </row>
    <row r="588" ht="15.75" customHeight="1">
      <c r="A588" s="17" t="s">
        <v>4021</v>
      </c>
      <c r="B588" s="17">
        <v>1.0</v>
      </c>
    </row>
    <row r="589" ht="15.75" customHeight="1">
      <c r="A589" s="18" t="s">
        <v>4022</v>
      </c>
      <c r="B589" s="18">
        <v>1.0</v>
      </c>
    </row>
    <row r="590" ht="15.75" customHeight="1">
      <c r="A590" s="17" t="s">
        <v>4023</v>
      </c>
      <c r="B590" s="17">
        <v>1.0</v>
      </c>
    </row>
    <row r="591" ht="15.75" customHeight="1">
      <c r="A591" s="18" t="s">
        <v>4024</v>
      </c>
      <c r="B591" s="18">
        <v>1.0</v>
      </c>
    </row>
    <row r="592" ht="15.75" customHeight="1">
      <c r="A592" s="17" t="s">
        <v>4025</v>
      </c>
      <c r="B592" s="17">
        <v>1.0</v>
      </c>
    </row>
    <row r="593" ht="15.75" customHeight="1">
      <c r="A593" s="18" t="s">
        <v>4026</v>
      </c>
      <c r="B593" s="18">
        <v>1.0</v>
      </c>
    </row>
    <row r="594" ht="15.75" customHeight="1">
      <c r="A594" s="17" t="s">
        <v>4027</v>
      </c>
      <c r="B594" s="17">
        <v>1.0</v>
      </c>
    </row>
    <row r="595" ht="15.75" customHeight="1">
      <c r="A595" s="18" t="s">
        <v>4028</v>
      </c>
      <c r="B595" s="18">
        <v>1.0</v>
      </c>
    </row>
    <row r="596" ht="15.75" customHeight="1">
      <c r="A596" s="17" t="s">
        <v>4029</v>
      </c>
      <c r="B596" s="17">
        <v>1.0</v>
      </c>
    </row>
    <row r="597" ht="15.75" customHeight="1">
      <c r="A597" s="18" t="s">
        <v>4030</v>
      </c>
      <c r="B597" s="18">
        <v>1.0</v>
      </c>
    </row>
    <row r="598" ht="15.75" customHeight="1">
      <c r="A598" s="17" t="s">
        <v>4031</v>
      </c>
      <c r="B598" s="17">
        <v>1.0</v>
      </c>
    </row>
    <row r="599" ht="15.75" customHeight="1">
      <c r="A599" s="18" t="s">
        <v>4032</v>
      </c>
      <c r="B599" s="18">
        <v>1.0</v>
      </c>
    </row>
    <row r="600" ht="15.75" customHeight="1">
      <c r="A600" s="17" t="s">
        <v>4033</v>
      </c>
      <c r="B600" s="17">
        <v>1.0</v>
      </c>
    </row>
    <row r="601" ht="15.75" customHeight="1">
      <c r="A601" s="18" t="s">
        <v>4034</v>
      </c>
      <c r="B601" s="18">
        <v>1.0</v>
      </c>
    </row>
    <row r="602" ht="15.75" customHeight="1">
      <c r="A602" s="17" t="s">
        <v>4035</v>
      </c>
      <c r="B602" s="17">
        <v>1.0</v>
      </c>
    </row>
    <row r="603" ht="15.75" customHeight="1">
      <c r="A603" s="18" t="s">
        <v>4036</v>
      </c>
      <c r="B603" s="18">
        <v>1.0</v>
      </c>
    </row>
    <row r="604" ht="15.75" customHeight="1">
      <c r="A604" s="17" t="s">
        <v>4037</v>
      </c>
      <c r="B604" s="17">
        <v>1.0</v>
      </c>
    </row>
    <row r="605" ht="15.75" customHeight="1">
      <c r="A605" s="18" t="s">
        <v>4038</v>
      </c>
      <c r="B605" s="18">
        <v>1.0</v>
      </c>
    </row>
    <row r="606" ht="15.75" customHeight="1">
      <c r="A606" s="17" t="s">
        <v>4039</v>
      </c>
      <c r="B606" s="17">
        <v>1.0</v>
      </c>
    </row>
    <row r="607" ht="15.75" customHeight="1">
      <c r="A607" s="18" t="s">
        <v>4040</v>
      </c>
      <c r="B607" s="18">
        <v>1.0</v>
      </c>
    </row>
    <row r="608" ht="15.75" customHeight="1">
      <c r="A608" s="17" t="s">
        <v>4041</v>
      </c>
      <c r="B608" s="17">
        <v>1.0</v>
      </c>
    </row>
    <row r="609" ht="15.75" customHeight="1">
      <c r="A609" s="18" t="s">
        <v>4042</v>
      </c>
      <c r="B609" s="18">
        <v>1.0</v>
      </c>
    </row>
    <row r="610" ht="15.75" customHeight="1">
      <c r="A610" s="17" t="s">
        <v>4043</v>
      </c>
      <c r="B610" s="17">
        <v>1.0</v>
      </c>
    </row>
    <row r="611" ht="15.75" customHeight="1">
      <c r="A611" s="18" t="s">
        <v>4044</v>
      </c>
      <c r="B611" s="18">
        <v>1.0</v>
      </c>
    </row>
    <row r="612" ht="15.75" customHeight="1">
      <c r="A612" s="17" t="s">
        <v>4045</v>
      </c>
      <c r="B612" s="17">
        <v>1.0</v>
      </c>
    </row>
    <row r="613" ht="15.75" customHeight="1">
      <c r="A613" s="18" t="s">
        <v>4046</v>
      </c>
      <c r="B613" s="18">
        <v>1.0</v>
      </c>
    </row>
    <row r="614" ht="15.75" customHeight="1">
      <c r="A614" s="17" t="s">
        <v>4047</v>
      </c>
      <c r="B614" s="17">
        <v>1.0</v>
      </c>
    </row>
    <row r="615" ht="15.75" customHeight="1">
      <c r="A615" s="18" t="s">
        <v>4048</v>
      </c>
      <c r="B615" s="18">
        <v>1.0</v>
      </c>
    </row>
    <row r="616" ht="15.75" customHeight="1">
      <c r="A616" s="17" t="s">
        <v>4049</v>
      </c>
      <c r="B616" s="17">
        <v>1.0</v>
      </c>
    </row>
    <row r="617" ht="15.75" customHeight="1">
      <c r="A617" s="18" t="s">
        <v>4050</v>
      </c>
      <c r="B617" s="18">
        <v>1.0</v>
      </c>
    </row>
    <row r="618" ht="15.75" customHeight="1">
      <c r="A618" s="17" t="s">
        <v>4051</v>
      </c>
      <c r="B618" s="17">
        <v>1.0</v>
      </c>
    </row>
    <row r="619" ht="15.75" customHeight="1">
      <c r="A619" s="18" t="s">
        <v>4052</v>
      </c>
      <c r="B619" s="18">
        <v>1.0</v>
      </c>
    </row>
    <row r="620" ht="15.75" customHeight="1">
      <c r="A620" s="17" t="s">
        <v>4053</v>
      </c>
      <c r="B620" s="17">
        <v>1.0</v>
      </c>
    </row>
    <row r="621" ht="15.75" customHeight="1">
      <c r="A621" s="18" t="s">
        <v>4054</v>
      </c>
      <c r="B621" s="18">
        <v>1.0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00">
    <sortState ref="A1:B1000">
      <sortCondition descending="1" ref="B1:B1000"/>
    </sortState>
  </autoFilter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6" t="s">
        <v>4055</v>
      </c>
      <c r="B1" s="16" t="s">
        <v>54</v>
      </c>
      <c r="C1" s="16" t="s">
        <v>4056</v>
      </c>
      <c r="D1" s="16" t="s">
        <v>4057</v>
      </c>
      <c r="E1" s="16" t="s">
        <v>4058</v>
      </c>
      <c r="F1" s="16" t="s">
        <v>4059</v>
      </c>
    </row>
    <row r="2">
      <c r="A2" s="17" t="s">
        <v>4060</v>
      </c>
      <c r="B2" s="17">
        <v>51.0</v>
      </c>
      <c r="C2" s="17">
        <v>10.9913793103448</v>
      </c>
      <c r="D2" s="17">
        <v>50.0</v>
      </c>
      <c r="E2" s="17">
        <v>1.0</v>
      </c>
      <c r="F2" s="17">
        <v>1.96078431372549</v>
      </c>
    </row>
    <row r="3">
      <c r="A3" s="18" t="s">
        <v>4061</v>
      </c>
      <c r="B3" s="18">
        <v>36.0</v>
      </c>
      <c r="C3" s="18">
        <v>7.75862068965517</v>
      </c>
      <c r="D3" s="18">
        <v>34.0</v>
      </c>
      <c r="E3" s="18">
        <v>2.0</v>
      </c>
      <c r="F3" s="18">
        <v>5.55555555555556</v>
      </c>
    </row>
    <row r="4">
      <c r="A4" s="17" t="s">
        <v>4062</v>
      </c>
      <c r="B4" s="17">
        <v>28.0</v>
      </c>
      <c r="C4" s="17">
        <v>6.03448275862069</v>
      </c>
      <c r="D4" s="17">
        <v>24.0</v>
      </c>
      <c r="E4" s="17">
        <v>4.0</v>
      </c>
      <c r="F4" s="17">
        <v>14.2857142857143</v>
      </c>
    </row>
    <row r="5">
      <c r="A5" s="18" t="s">
        <v>4063</v>
      </c>
      <c r="B5" s="18">
        <v>21.0</v>
      </c>
      <c r="C5" s="18">
        <v>4.52586206896552</v>
      </c>
      <c r="D5" s="18">
        <v>15.0</v>
      </c>
      <c r="E5" s="18">
        <v>6.0</v>
      </c>
      <c r="F5" s="18">
        <v>28.5714285714286</v>
      </c>
    </row>
    <row r="6">
      <c r="A6" s="17" t="s">
        <v>4064</v>
      </c>
      <c r="B6" s="17">
        <v>21.0</v>
      </c>
      <c r="C6" s="17">
        <v>4.52586206896552</v>
      </c>
      <c r="D6" s="17">
        <v>14.0</v>
      </c>
      <c r="E6" s="17">
        <v>7.0</v>
      </c>
      <c r="F6" s="17">
        <v>33.3333333333333</v>
      </c>
    </row>
    <row r="7">
      <c r="A7" s="18" t="s">
        <v>4065</v>
      </c>
      <c r="B7" s="18">
        <v>19.0</v>
      </c>
      <c r="C7" s="18">
        <v>4.0948275862069</v>
      </c>
      <c r="D7" s="18">
        <v>17.0</v>
      </c>
      <c r="E7" s="18">
        <v>2.0</v>
      </c>
      <c r="F7" s="18">
        <v>10.5263157894737</v>
      </c>
    </row>
    <row r="8">
      <c r="A8" s="17" t="s">
        <v>4066</v>
      </c>
      <c r="B8" s="17">
        <v>12.0</v>
      </c>
      <c r="C8" s="17">
        <v>2.58620689655172</v>
      </c>
      <c r="D8" s="17">
        <v>10.0</v>
      </c>
      <c r="E8" s="17">
        <v>2.0</v>
      </c>
      <c r="F8" s="17">
        <v>16.6666666666667</v>
      </c>
    </row>
    <row r="9">
      <c r="A9" s="18" t="s">
        <v>4067</v>
      </c>
      <c r="B9" s="18">
        <v>12.0</v>
      </c>
      <c r="C9" s="18">
        <v>2.58620689655172</v>
      </c>
      <c r="D9" s="18">
        <v>8.0</v>
      </c>
      <c r="E9" s="18">
        <v>4.0</v>
      </c>
      <c r="F9" s="18">
        <v>33.3333333333333</v>
      </c>
    </row>
    <row r="10">
      <c r="A10" s="17" t="s">
        <v>4068</v>
      </c>
      <c r="B10" s="17">
        <v>11.0</v>
      </c>
      <c r="C10" s="17">
        <v>2.37068965517241</v>
      </c>
      <c r="D10" s="17">
        <v>11.0</v>
      </c>
      <c r="E10" s="17">
        <v>0.0</v>
      </c>
      <c r="F10" s="17">
        <v>0.0</v>
      </c>
    </row>
    <row r="11">
      <c r="A11" s="18" t="s">
        <v>4069</v>
      </c>
      <c r="B11" s="18">
        <v>10.0</v>
      </c>
      <c r="C11" s="18">
        <v>2.1551724137931</v>
      </c>
      <c r="D11" s="18">
        <v>9.0</v>
      </c>
      <c r="E11" s="18">
        <v>1.0</v>
      </c>
      <c r="F11" s="18">
        <v>10.0</v>
      </c>
    </row>
    <row r="12">
      <c r="A12" s="17" t="s">
        <v>4070</v>
      </c>
      <c r="B12" s="17">
        <v>9.0</v>
      </c>
      <c r="C12" s="17">
        <v>1.93965517241379</v>
      </c>
      <c r="D12" s="17">
        <v>8.0</v>
      </c>
      <c r="E12" s="17">
        <v>1.0</v>
      </c>
      <c r="F12" s="17">
        <v>11.1111111111111</v>
      </c>
    </row>
    <row r="13">
      <c r="A13" s="18" t="s">
        <v>4071</v>
      </c>
      <c r="B13" s="18">
        <v>9.0</v>
      </c>
      <c r="C13" s="18">
        <v>1.93965517241379</v>
      </c>
      <c r="D13" s="18">
        <v>8.0</v>
      </c>
      <c r="E13" s="18">
        <v>1.0</v>
      </c>
      <c r="F13" s="18">
        <v>11.1111111111111</v>
      </c>
    </row>
    <row r="14">
      <c r="A14" s="17" t="s">
        <v>4072</v>
      </c>
      <c r="B14" s="17">
        <v>9.0</v>
      </c>
      <c r="C14" s="17">
        <v>1.93965517241379</v>
      </c>
      <c r="D14" s="17">
        <v>6.0</v>
      </c>
      <c r="E14" s="17">
        <v>3.0</v>
      </c>
      <c r="F14" s="17">
        <v>33.3333333333333</v>
      </c>
    </row>
    <row r="15">
      <c r="A15" s="18" t="s">
        <v>4073</v>
      </c>
      <c r="B15" s="18">
        <v>8.0</v>
      </c>
      <c r="C15" s="18">
        <v>1.72413793103448</v>
      </c>
      <c r="D15" s="18">
        <v>8.0</v>
      </c>
      <c r="E15" s="18">
        <v>0.0</v>
      </c>
      <c r="F15" s="18">
        <v>0.0</v>
      </c>
    </row>
    <row r="16">
      <c r="A16" s="17" t="s">
        <v>4074</v>
      </c>
      <c r="B16" s="17">
        <v>8.0</v>
      </c>
      <c r="C16" s="17">
        <v>1.72413793103448</v>
      </c>
      <c r="D16" s="17">
        <v>6.0</v>
      </c>
      <c r="E16" s="17">
        <v>2.0</v>
      </c>
      <c r="F16" s="17">
        <v>25.0</v>
      </c>
    </row>
    <row r="17">
      <c r="A17" s="18" t="s">
        <v>4075</v>
      </c>
      <c r="B17" s="18">
        <v>7.0</v>
      </c>
      <c r="C17" s="18">
        <v>1.50862068965517</v>
      </c>
      <c r="D17" s="18">
        <v>4.0</v>
      </c>
      <c r="E17" s="18">
        <v>3.0</v>
      </c>
      <c r="F17" s="18">
        <v>42.8571428571429</v>
      </c>
    </row>
    <row r="18">
      <c r="A18" s="17" t="s">
        <v>4076</v>
      </c>
      <c r="B18" s="17">
        <v>6.0</v>
      </c>
      <c r="C18" s="17">
        <v>1.29310344827586</v>
      </c>
      <c r="D18" s="17">
        <v>6.0</v>
      </c>
      <c r="E18" s="17">
        <v>0.0</v>
      </c>
      <c r="F18" s="17">
        <v>0.0</v>
      </c>
    </row>
    <row r="19">
      <c r="A19" s="18" t="s">
        <v>4077</v>
      </c>
      <c r="B19" s="18">
        <v>6.0</v>
      </c>
      <c r="C19" s="18">
        <v>1.29310344827586</v>
      </c>
      <c r="D19" s="18">
        <v>6.0</v>
      </c>
      <c r="E19" s="18">
        <v>0.0</v>
      </c>
      <c r="F19" s="18">
        <v>0.0</v>
      </c>
    </row>
    <row r="20">
      <c r="A20" s="17" t="s">
        <v>4078</v>
      </c>
      <c r="B20" s="17">
        <v>6.0</v>
      </c>
      <c r="C20" s="17">
        <v>1.29310344827586</v>
      </c>
      <c r="D20" s="17">
        <v>5.0</v>
      </c>
      <c r="E20" s="17">
        <v>1.0</v>
      </c>
      <c r="F20" s="17">
        <v>16.6666666666667</v>
      </c>
    </row>
    <row r="21" ht="15.75" customHeight="1">
      <c r="A21" s="18" t="s">
        <v>4079</v>
      </c>
      <c r="B21" s="18">
        <v>6.0</v>
      </c>
      <c r="C21" s="18">
        <v>1.29310344827586</v>
      </c>
      <c r="D21" s="18">
        <v>5.0</v>
      </c>
      <c r="E21" s="18">
        <v>1.0</v>
      </c>
      <c r="F21" s="18">
        <v>16.6666666666667</v>
      </c>
    </row>
    <row r="22" ht="15.75" customHeight="1">
      <c r="A22" s="17" t="s">
        <v>4080</v>
      </c>
      <c r="B22" s="17">
        <v>5.0</v>
      </c>
      <c r="C22" s="17">
        <v>1.07758620689655</v>
      </c>
      <c r="D22" s="17">
        <v>5.0</v>
      </c>
      <c r="E22" s="17">
        <v>0.0</v>
      </c>
      <c r="F22" s="17">
        <v>0.0</v>
      </c>
    </row>
    <row r="23" ht="15.75" customHeight="1">
      <c r="A23" s="18" t="s">
        <v>4081</v>
      </c>
      <c r="B23" s="18">
        <v>5.0</v>
      </c>
      <c r="C23" s="18">
        <v>1.07758620689655</v>
      </c>
      <c r="D23" s="18">
        <v>5.0</v>
      </c>
      <c r="E23" s="18">
        <v>0.0</v>
      </c>
      <c r="F23" s="18">
        <v>0.0</v>
      </c>
    </row>
    <row r="24" ht="15.75" customHeight="1">
      <c r="A24" s="17" t="s">
        <v>4082</v>
      </c>
      <c r="B24" s="17">
        <v>5.0</v>
      </c>
      <c r="C24" s="17">
        <v>1.07758620689655</v>
      </c>
      <c r="D24" s="17">
        <v>5.0</v>
      </c>
      <c r="E24" s="17">
        <v>0.0</v>
      </c>
      <c r="F24" s="17">
        <v>0.0</v>
      </c>
    </row>
    <row r="25" ht="15.75" customHeight="1">
      <c r="A25" s="18" t="s">
        <v>4083</v>
      </c>
      <c r="B25" s="18">
        <v>5.0</v>
      </c>
      <c r="C25" s="18">
        <v>1.07758620689655</v>
      </c>
      <c r="D25" s="18">
        <v>3.0</v>
      </c>
      <c r="E25" s="18">
        <v>2.0</v>
      </c>
      <c r="F25" s="18">
        <v>40.0</v>
      </c>
    </row>
    <row r="26" ht="15.75" customHeight="1">
      <c r="A26" s="17" t="s">
        <v>4084</v>
      </c>
      <c r="B26" s="17">
        <v>4.0</v>
      </c>
      <c r="C26" s="17">
        <v>0.862068965517241</v>
      </c>
      <c r="D26" s="17">
        <v>4.0</v>
      </c>
      <c r="E26" s="17">
        <v>0.0</v>
      </c>
      <c r="F26" s="17">
        <v>0.0</v>
      </c>
    </row>
    <row r="27" ht="15.75" customHeight="1">
      <c r="A27" s="18" t="s">
        <v>4085</v>
      </c>
      <c r="B27" s="18">
        <v>4.0</v>
      </c>
      <c r="C27" s="18">
        <v>0.862068965517241</v>
      </c>
      <c r="D27" s="18">
        <v>3.0</v>
      </c>
      <c r="E27" s="18">
        <v>1.0</v>
      </c>
      <c r="F27" s="18">
        <v>25.0</v>
      </c>
    </row>
    <row r="28" ht="15.75" customHeight="1">
      <c r="A28" s="17" t="s">
        <v>4086</v>
      </c>
      <c r="B28" s="17">
        <v>4.0</v>
      </c>
      <c r="C28" s="17">
        <v>0.862068965517241</v>
      </c>
      <c r="D28" s="17">
        <v>2.0</v>
      </c>
      <c r="E28" s="17">
        <v>2.0</v>
      </c>
      <c r="F28" s="17">
        <v>50.0</v>
      </c>
    </row>
    <row r="29" ht="15.75" customHeight="1">
      <c r="A29" s="18" t="s">
        <v>4087</v>
      </c>
      <c r="B29" s="18">
        <v>4.0</v>
      </c>
      <c r="C29" s="18">
        <v>0.862068965517241</v>
      </c>
      <c r="D29" s="18">
        <v>2.0</v>
      </c>
      <c r="E29" s="18">
        <v>2.0</v>
      </c>
      <c r="F29" s="18">
        <v>50.0</v>
      </c>
    </row>
    <row r="30" ht="15.75" customHeight="1">
      <c r="A30" s="17" t="s">
        <v>4088</v>
      </c>
      <c r="B30" s="17">
        <v>4.0</v>
      </c>
      <c r="C30" s="17">
        <v>0.862068965517241</v>
      </c>
      <c r="D30" s="17">
        <v>1.0</v>
      </c>
      <c r="E30" s="17">
        <v>3.0</v>
      </c>
      <c r="F30" s="17">
        <v>75.0</v>
      </c>
    </row>
    <row r="31" ht="15.75" customHeight="1">
      <c r="A31" s="18" t="s">
        <v>4089</v>
      </c>
      <c r="B31" s="18">
        <v>3.0</v>
      </c>
      <c r="C31" s="18">
        <v>0.646551724137931</v>
      </c>
      <c r="D31" s="18">
        <v>3.0</v>
      </c>
      <c r="E31" s="18">
        <v>0.0</v>
      </c>
      <c r="F31" s="18">
        <v>0.0</v>
      </c>
    </row>
    <row r="32" ht="15.75" customHeight="1">
      <c r="A32" s="17" t="s">
        <v>4090</v>
      </c>
      <c r="B32" s="17">
        <v>3.0</v>
      </c>
      <c r="C32" s="17">
        <v>0.646551724137931</v>
      </c>
      <c r="D32" s="17">
        <v>3.0</v>
      </c>
      <c r="E32" s="17">
        <v>0.0</v>
      </c>
      <c r="F32" s="17">
        <v>0.0</v>
      </c>
    </row>
    <row r="33" ht="15.75" customHeight="1">
      <c r="A33" s="18" t="s">
        <v>4091</v>
      </c>
      <c r="B33" s="18">
        <v>3.0</v>
      </c>
      <c r="C33" s="18">
        <v>0.646551724137931</v>
      </c>
      <c r="D33" s="18">
        <v>3.0</v>
      </c>
      <c r="E33" s="18">
        <v>0.0</v>
      </c>
      <c r="F33" s="18">
        <v>0.0</v>
      </c>
    </row>
    <row r="34" ht="15.75" customHeight="1">
      <c r="A34" s="17" t="s">
        <v>4092</v>
      </c>
      <c r="B34" s="17">
        <v>3.0</v>
      </c>
      <c r="C34" s="17">
        <v>0.646551724137931</v>
      </c>
      <c r="D34" s="17">
        <v>3.0</v>
      </c>
      <c r="E34" s="17">
        <v>0.0</v>
      </c>
      <c r="F34" s="17">
        <v>0.0</v>
      </c>
    </row>
    <row r="35" ht="15.75" customHeight="1">
      <c r="A35" s="18" t="s">
        <v>4093</v>
      </c>
      <c r="B35" s="18">
        <v>3.0</v>
      </c>
      <c r="C35" s="18">
        <v>0.646551724137931</v>
      </c>
      <c r="D35" s="18">
        <v>3.0</v>
      </c>
      <c r="E35" s="18">
        <v>0.0</v>
      </c>
      <c r="F35" s="18">
        <v>0.0</v>
      </c>
    </row>
    <row r="36" ht="15.75" customHeight="1">
      <c r="A36" s="17" t="s">
        <v>4094</v>
      </c>
      <c r="B36" s="17">
        <v>3.0</v>
      </c>
      <c r="C36" s="17">
        <v>0.646551724137931</v>
      </c>
      <c r="D36" s="17">
        <v>1.0</v>
      </c>
      <c r="E36" s="17">
        <v>2.0</v>
      </c>
      <c r="F36" s="17">
        <v>66.6666666666667</v>
      </c>
    </row>
    <row r="37" ht="15.75" customHeight="1">
      <c r="A37" s="18" t="s">
        <v>4095</v>
      </c>
      <c r="B37" s="18">
        <v>2.0</v>
      </c>
      <c r="C37" s="18">
        <v>0.431034482758621</v>
      </c>
      <c r="D37" s="18">
        <v>2.0</v>
      </c>
      <c r="E37" s="18">
        <v>0.0</v>
      </c>
      <c r="F37" s="18">
        <v>0.0</v>
      </c>
    </row>
    <row r="38" ht="15.75" customHeight="1">
      <c r="A38" s="17" t="s">
        <v>4096</v>
      </c>
      <c r="B38" s="17">
        <v>2.0</v>
      </c>
      <c r="C38" s="17">
        <v>0.431034482758621</v>
      </c>
      <c r="D38" s="17">
        <v>2.0</v>
      </c>
      <c r="E38" s="17">
        <v>0.0</v>
      </c>
      <c r="F38" s="17">
        <v>0.0</v>
      </c>
    </row>
    <row r="39" ht="15.75" customHeight="1">
      <c r="A39" s="18" t="s">
        <v>4097</v>
      </c>
      <c r="B39" s="18">
        <v>2.0</v>
      </c>
      <c r="C39" s="18">
        <v>0.431034482758621</v>
      </c>
      <c r="D39" s="18">
        <v>2.0</v>
      </c>
      <c r="E39" s="18">
        <v>0.0</v>
      </c>
      <c r="F39" s="18">
        <v>0.0</v>
      </c>
    </row>
    <row r="40" ht="15.75" customHeight="1">
      <c r="A40" s="17" t="s">
        <v>4098</v>
      </c>
      <c r="B40" s="17">
        <v>2.0</v>
      </c>
      <c r="C40" s="17">
        <v>0.431034482758621</v>
      </c>
      <c r="D40" s="17">
        <v>2.0</v>
      </c>
      <c r="E40" s="17">
        <v>0.0</v>
      </c>
      <c r="F40" s="17">
        <v>0.0</v>
      </c>
    </row>
    <row r="41" ht="15.75" customHeight="1">
      <c r="A41" s="18" t="s">
        <v>4099</v>
      </c>
      <c r="B41" s="18">
        <v>2.0</v>
      </c>
      <c r="C41" s="18">
        <v>0.431034482758621</v>
      </c>
      <c r="D41" s="18">
        <v>2.0</v>
      </c>
      <c r="E41" s="18">
        <v>0.0</v>
      </c>
      <c r="F41" s="18">
        <v>0.0</v>
      </c>
    </row>
    <row r="42" ht="15.75" customHeight="1">
      <c r="A42" s="17" t="s">
        <v>4100</v>
      </c>
      <c r="B42" s="17">
        <v>2.0</v>
      </c>
      <c r="C42" s="17">
        <v>0.431034482758621</v>
      </c>
      <c r="D42" s="17">
        <v>2.0</v>
      </c>
      <c r="E42" s="17">
        <v>0.0</v>
      </c>
      <c r="F42" s="17">
        <v>0.0</v>
      </c>
    </row>
    <row r="43" ht="15.75" customHeight="1">
      <c r="A43" s="18" t="s">
        <v>4101</v>
      </c>
      <c r="B43" s="18">
        <v>2.0</v>
      </c>
      <c r="C43" s="18">
        <v>0.431034482758621</v>
      </c>
      <c r="D43" s="18">
        <v>1.0</v>
      </c>
      <c r="E43" s="18">
        <v>1.0</v>
      </c>
      <c r="F43" s="18">
        <v>50.0</v>
      </c>
    </row>
    <row r="44" ht="15.75" customHeight="1">
      <c r="A44" s="17" t="s">
        <v>4102</v>
      </c>
      <c r="B44" s="17">
        <v>2.0</v>
      </c>
      <c r="C44" s="17">
        <v>0.431034482758621</v>
      </c>
      <c r="D44" s="17">
        <v>1.0</v>
      </c>
      <c r="E44" s="17">
        <v>1.0</v>
      </c>
      <c r="F44" s="17">
        <v>50.0</v>
      </c>
    </row>
    <row r="45" ht="15.75" customHeight="1">
      <c r="A45" s="18" t="s">
        <v>4103</v>
      </c>
      <c r="B45" s="18">
        <v>2.0</v>
      </c>
      <c r="C45" s="18">
        <v>0.431034482758621</v>
      </c>
      <c r="D45" s="18">
        <v>0.0</v>
      </c>
      <c r="E45" s="18">
        <v>2.0</v>
      </c>
      <c r="F45" s="18">
        <v>100.0</v>
      </c>
    </row>
    <row r="46" ht="15.75" customHeight="1">
      <c r="A46" s="17" t="s">
        <v>4104</v>
      </c>
      <c r="B46" s="17">
        <v>1.0</v>
      </c>
      <c r="C46" s="17">
        <v>0.21551724137931</v>
      </c>
      <c r="D46" s="17">
        <v>1.0</v>
      </c>
      <c r="E46" s="17">
        <v>0.0</v>
      </c>
      <c r="F46" s="17">
        <v>0.0</v>
      </c>
    </row>
    <row r="47" ht="15.75" customHeight="1">
      <c r="A47" s="18" t="s">
        <v>4105</v>
      </c>
      <c r="B47" s="18">
        <v>1.0</v>
      </c>
      <c r="C47" s="18">
        <v>0.21551724137931</v>
      </c>
      <c r="D47" s="18">
        <v>1.0</v>
      </c>
      <c r="E47" s="18">
        <v>0.0</v>
      </c>
      <c r="F47" s="18">
        <v>0.0</v>
      </c>
    </row>
    <row r="48" ht="15.75" customHeight="1">
      <c r="A48" s="17" t="s">
        <v>4106</v>
      </c>
      <c r="B48" s="17">
        <v>1.0</v>
      </c>
      <c r="C48" s="17">
        <v>0.21551724137931</v>
      </c>
      <c r="D48" s="17">
        <v>1.0</v>
      </c>
      <c r="E48" s="17">
        <v>0.0</v>
      </c>
      <c r="F48" s="17">
        <v>0.0</v>
      </c>
      <c r="I48" s="14">
        <f>157/463</f>
        <v>0.3390928726</v>
      </c>
    </row>
    <row r="49" ht="15.75" customHeight="1">
      <c r="A49" s="18" t="s">
        <v>4107</v>
      </c>
      <c r="B49" s="18">
        <v>1.0</v>
      </c>
      <c r="C49" s="18">
        <v>0.21551724137931</v>
      </c>
      <c r="D49" s="18">
        <v>1.0</v>
      </c>
      <c r="E49" s="18">
        <v>0.0</v>
      </c>
      <c r="F49" s="18">
        <v>0.0</v>
      </c>
    </row>
    <row r="50" ht="15.75" customHeight="1">
      <c r="A50" s="17" t="s">
        <v>4108</v>
      </c>
      <c r="B50" s="17">
        <v>1.0</v>
      </c>
      <c r="C50" s="17">
        <v>0.21551724137931</v>
      </c>
      <c r="D50" s="17">
        <v>1.0</v>
      </c>
      <c r="E50" s="17">
        <v>0.0</v>
      </c>
      <c r="F50" s="17">
        <v>0.0</v>
      </c>
    </row>
    <row r="51" ht="15.75" customHeight="1">
      <c r="A51" s="18" t="s">
        <v>4109</v>
      </c>
      <c r="B51" s="18">
        <v>1.0</v>
      </c>
      <c r="C51" s="18">
        <v>0.21551724137931</v>
      </c>
      <c r="D51" s="18">
        <v>1.0</v>
      </c>
      <c r="E51" s="18">
        <v>0.0</v>
      </c>
      <c r="F51" s="18">
        <v>0.0</v>
      </c>
    </row>
    <row r="52" ht="15.75" customHeight="1">
      <c r="A52" s="17" t="s">
        <v>4110</v>
      </c>
      <c r="B52" s="17">
        <v>1.0</v>
      </c>
      <c r="C52" s="17">
        <v>0.21551724137931</v>
      </c>
      <c r="D52" s="17">
        <v>1.0</v>
      </c>
      <c r="E52" s="17">
        <v>0.0</v>
      </c>
      <c r="F52" s="17">
        <v>0.0</v>
      </c>
    </row>
    <row r="53" ht="15.75" customHeight="1">
      <c r="A53" s="18" t="s">
        <v>4111</v>
      </c>
      <c r="B53" s="18">
        <v>1.0</v>
      </c>
      <c r="C53" s="18">
        <v>0.21551724137931</v>
      </c>
      <c r="D53" s="18">
        <v>1.0</v>
      </c>
      <c r="E53" s="18">
        <v>0.0</v>
      </c>
      <c r="F53" s="18">
        <v>0.0</v>
      </c>
    </row>
    <row r="54" ht="15.75" customHeight="1">
      <c r="A54" s="17" t="s">
        <v>4112</v>
      </c>
      <c r="B54" s="17">
        <v>1.0</v>
      </c>
      <c r="C54" s="17">
        <v>0.21551724137931</v>
      </c>
      <c r="D54" s="17">
        <v>1.0</v>
      </c>
      <c r="E54" s="17">
        <v>0.0</v>
      </c>
      <c r="F54" s="17">
        <v>0.0</v>
      </c>
    </row>
    <row r="55" ht="15.75" customHeight="1">
      <c r="A55" s="18" t="s">
        <v>4113</v>
      </c>
      <c r="B55" s="18">
        <v>1.0</v>
      </c>
      <c r="C55" s="18">
        <v>0.21551724137931</v>
      </c>
      <c r="D55" s="18">
        <v>1.0</v>
      </c>
      <c r="E55" s="18">
        <v>0.0</v>
      </c>
      <c r="F55" s="18">
        <v>0.0</v>
      </c>
    </row>
    <row r="56" ht="15.75" customHeight="1">
      <c r="A56" s="17" t="s">
        <v>4114</v>
      </c>
      <c r="B56" s="17">
        <v>1.0</v>
      </c>
      <c r="C56" s="17">
        <v>0.21551724137931</v>
      </c>
      <c r="D56" s="17">
        <v>1.0</v>
      </c>
      <c r="E56" s="17">
        <v>0.0</v>
      </c>
      <c r="F56" s="17">
        <v>0.0</v>
      </c>
    </row>
    <row r="57" ht="15.75" customHeight="1">
      <c r="A57" s="18" t="s">
        <v>4115</v>
      </c>
      <c r="B57" s="18">
        <v>1.0</v>
      </c>
      <c r="C57" s="18">
        <v>0.21551724137931</v>
      </c>
      <c r="D57" s="18">
        <v>1.0</v>
      </c>
      <c r="E57" s="18">
        <v>0.0</v>
      </c>
      <c r="F57" s="18">
        <v>0.0</v>
      </c>
    </row>
    <row r="58" ht="15.75" customHeight="1">
      <c r="A58" s="17" t="s">
        <v>4116</v>
      </c>
      <c r="B58" s="17">
        <v>1.0</v>
      </c>
      <c r="C58" s="17">
        <v>0.21551724137931</v>
      </c>
      <c r="D58" s="17">
        <v>1.0</v>
      </c>
      <c r="E58" s="17">
        <v>0.0</v>
      </c>
      <c r="F58" s="17">
        <v>0.0</v>
      </c>
    </row>
    <row r="59" ht="15.75" customHeight="1">
      <c r="A59" s="18" t="s">
        <v>4117</v>
      </c>
      <c r="B59" s="18">
        <v>1.0</v>
      </c>
      <c r="C59" s="18">
        <v>0.21551724137931</v>
      </c>
      <c r="D59" s="18">
        <v>1.0</v>
      </c>
      <c r="E59" s="18">
        <v>0.0</v>
      </c>
      <c r="F59" s="18">
        <v>0.0</v>
      </c>
    </row>
    <row r="60" ht="15.75" customHeight="1">
      <c r="A60" s="17" t="s">
        <v>4118</v>
      </c>
      <c r="B60" s="17">
        <v>1.0</v>
      </c>
      <c r="C60" s="17">
        <v>0.21551724137931</v>
      </c>
      <c r="D60" s="17">
        <v>1.0</v>
      </c>
      <c r="E60" s="17">
        <v>0.0</v>
      </c>
      <c r="F60" s="17">
        <v>0.0</v>
      </c>
    </row>
    <row r="61" ht="15.75" customHeight="1">
      <c r="A61" s="18" t="s">
        <v>4119</v>
      </c>
      <c r="B61" s="18">
        <v>1.0</v>
      </c>
      <c r="C61" s="18">
        <v>0.21551724137931</v>
      </c>
      <c r="D61" s="18">
        <v>1.0</v>
      </c>
      <c r="E61" s="18">
        <v>0.0</v>
      </c>
      <c r="F61" s="18">
        <v>0.0</v>
      </c>
    </row>
    <row r="62" ht="15.75" customHeight="1">
      <c r="A62" s="17" t="s">
        <v>4120</v>
      </c>
      <c r="B62" s="17">
        <v>1.0</v>
      </c>
      <c r="C62" s="17">
        <v>0.21551724137931</v>
      </c>
      <c r="D62" s="17">
        <v>1.0</v>
      </c>
      <c r="E62" s="17">
        <v>0.0</v>
      </c>
      <c r="F62" s="17">
        <v>0.0</v>
      </c>
    </row>
    <row r="63" ht="15.75" customHeight="1">
      <c r="A63" s="18" t="s">
        <v>4121</v>
      </c>
      <c r="B63" s="18">
        <v>1.0</v>
      </c>
      <c r="C63" s="18">
        <v>0.21551724137931</v>
      </c>
      <c r="D63" s="18">
        <v>0.0</v>
      </c>
      <c r="E63" s="18">
        <v>1.0</v>
      </c>
      <c r="F63" s="18">
        <v>100.0</v>
      </c>
    </row>
    <row r="64" ht="15.75" customHeight="1">
      <c r="A64" s="17" t="s">
        <v>4122</v>
      </c>
      <c r="B64" s="17">
        <v>1.0</v>
      </c>
      <c r="C64" s="17">
        <v>0.21551724137931</v>
      </c>
      <c r="D64" s="17">
        <v>0.0</v>
      </c>
      <c r="E64" s="17">
        <v>1.0</v>
      </c>
      <c r="F64" s="17">
        <v>100.0</v>
      </c>
    </row>
    <row r="65" ht="15.75" customHeight="1">
      <c r="A65" s="18" t="s">
        <v>4123</v>
      </c>
      <c r="B65" s="18">
        <v>1.0</v>
      </c>
      <c r="C65" s="18">
        <v>0.21551724137931</v>
      </c>
      <c r="D65" s="18">
        <v>0.0</v>
      </c>
      <c r="E65" s="18">
        <v>1.0</v>
      </c>
      <c r="F65" s="18">
        <v>100.0</v>
      </c>
    </row>
    <row r="66" ht="15.75" customHeight="1">
      <c r="A66" s="17" t="s">
        <v>4124</v>
      </c>
      <c r="B66" s="17">
        <v>1.0</v>
      </c>
      <c r="C66" s="17">
        <v>0.21551724137931</v>
      </c>
      <c r="D66" s="17">
        <v>0.0</v>
      </c>
      <c r="E66" s="17">
        <v>1.0</v>
      </c>
      <c r="F66" s="17">
        <v>100.0</v>
      </c>
    </row>
    <row r="67" ht="15.75" customHeight="1">
      <c r="A67" s="18" t="s">
        <v>4125</v>
      </c>
      <c r="B67" s="18">
        <v>1.0</v>
      </c>
      <c r="C67" s="18">
        <v>0.21551724137931</v>
      </c>
      <c r="D67" s="18">
        <v>0.0</v>
      </c>
      <c r="E67" s="18">
        <v>1.0</v>
      </c>
      <c r="F67" s="18">
        <v>100.0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67">
    <sortState ref="A1:Z67">
      <sortCondition descending="1" ref="B1:B67"/>
      <sortCondition descending="1" ref="D1:D67"/>
      <sortCondition descending="1" ref="E1:E67"/>
    </sortState>
  </autoFilter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4126</v>
      </c>
      <c r="B1" s="1" t="s">
        <v>1626</v>
      </c>
      <c r="C1" s="1" t="s">
        <v>4127</v>
      </c>
      <c r="D1" s="1" t="s">
        <v>4128</v>
      </c>
      <c r="E1" s="1" t="s">
        <v>4129</v>
      </c>
    </row>
    <row r="2">
      <c r="A2" s="1" t="s">
        <v>2754</v>
      </c>
      <c r="B2" s="1" t="s">
        <v>4130</v>
      </c>
      <c r="C2" s="1">
        <v>376.0</v>
      </c>
      <c r="D2" s="1">
        <v>34.1818181818182</v>
      </c>
      <c r="E2" s="1">
        <v>7.44554455445545</v>
      </c>
    </row>
    <row r="3">
      <c r="A3" s="1" t="s">
        <v>3070</v>
      </c>
      <c r="B3" s="1" t="s">
        <v>4131</v>
      </c>
      <c r="C3" s="1">
        <v>305.0</v>
      </c>
      <c r="D3" s="1">
        <v>16.9444444444444</v>
      </c>
      <c r="E3" s="1">
        <v>1.91222570532915</v>
      </c>
    </row>
    <row r="4">
      <c r="A4" s="1" t="s">
        <v>1939</v>
      </c>
      <c r="B4" s="1" t="s">
        <v>4132</v>
      </c>
      <c r="C4" s="1">
        <v>209.0</v>
      </c>
      <c r="D4" s="1">
        <v>20.9</v>
      </c>
      <c r="E4" s="1">
        <v>9.54822335025381</v>
      </c>
    </row>
    <row r="5">
      <c r="A5" s="1" t="s">
        <v>2309</v>
      </c>
      <c r="B5" s="1" t="s">
        <v>4133</v>
      </c>
      <c r="C5" s="1">
        <v>130.0</v>
      </c>
      <c r="D5" s="1">
        <v>26.0</v>
      </c>
      <c r="E5" s="1">
        <v>6.11764705882353</v>
      </c>
    </row>
    <row r="6">
      <c r="A6" s="1" t="s">
        <v>2313</v>
      </c>
      <c r="B6" s="1" t="s">
        <v>4134</v>
      </c>
      <c r="C6" s="1">
        <v>97.0</v>
      </c>
      <c r="D6" s="1">
        <v>19.4</v>
      </c>
      <c r="E6" s="1">
        <v>4.56470588235294</v>
      </c>
    </row>
    <row r="7">
      <c r="A7" s="1" t="s">
        <v>1648</v>
      </c>
      <c r="B7" s="1" t="s">
        <v>4135</v>
      </c>
      <c r="C7" s="1">
        <v>74.0</v>
      </c>
      <c r="D7" s="1">
        <v>12.3333333333333</v>
      </c>
      <c r="E7" s="1">
        <v>8.3036303630363</v>
      </c>
    </row>
    <row r="8">
      <c r="A8" s="1" t="s">
        <v>1652</v>
      </c>
      <c r="B8" s="1" t="s">
        <v>4136</v>
      </c>
      <c r="C8" s="1">
        <v>73.0</v>
      </c>
      <c r="D8" s="1">
        <v>18.25</v>
      </c>
      <c r="E8" s="1">
        <v>6.00632911392405</v>
      </c>
    </row>
    <row r="9">
      <c r="A9" s="1" t="s">
        <v>2316</v>
      </c>
      <c r="B9" s="1" t="s">
        <v>4137</v>
      </c>
      <c r="C9" s="1">
        <v>65.0</v>
      </c>
      <c r="D9" s="1">
        <v>13.0</v>
      </c>
      <c r="E9" s="1">
        <v>3.05882352941176</v>
      </c>
    </row>
    <row r="10">
      <c r="A10" s="1" t="s">
        <v>1943</v>
      </c>
      <c r="B10" s="1" t="s">
        <v>4138</v>
      </c>
      <c r="C10" s="1">
        <v>60.0</v>
      </c>
      <c r="D10" s="1">
        <v>12.0</v>
      </c>
      <c r="E10" s="1">
        <v>2.82352941176471</v>
      </c>
    </row>
    <row r="11">
      <c r="A11" s="1" t="s">
        <v>2758</v>
      </c>
      <c r="B11" s="1" t="s">
        <v>4139</v>
      </c>
      <c r="C11" s="1">
        <v>59.0</v>
      </c>
      <c r="D11" s="1">
        <v>8.42857142857143</v>
      </c>
      <c r="E11" s="1">
        <v>4.6156462585034</v>
      </c>
    </row>
    <row r="12">
      <c r="A12" s="1" t="s">
        <v>2320</v>
      </c>
      <c r="B12" s="1" t="s">
        <v>4140</v>
      </c>
      <c r="C12" s="1">
        <v>58.0</v>
      </c>
      <c r="D12" s="1">
        <v>14.5</v>
      </c>
      <c r="E12" s="1">
        <v>4.77215189873418</v>
      </c>
    </row>
    <row r="13">
      <c r="A13" s="1" t="s">
        <v>1656</v>
      </c>
      <c r="B13" s="1" t="s">
        <v>4141</v>
      </c>
      <c r="C13" s="1">
        <v>58.0</v>
      </c>
      <c r="D13" s="1">
        <v>2.76190476190476</v>
      </c>
      <c r="E13" s="1">
        <v>1.0</v>
      </c>
    </row>
    <row r="14">
      <c r="A14" s="1" t="s">
        <v>2324</v>
      </c>
      <c r="B14" s="1" t="s">
        <v>4142</v>
      </c>
      <c r="C14" s="1">
        <v>56.0</v>
      </c>
      <c r="D14" s="1">
        <v>18.6666666666667</v>
      </c>
      <c r="E14" s="1">
        <v>9.93802816901408</v>
      </c>
    </row>
    <row r="15">
      <c r="A15" s="1" t="s">
        <v>2328</v>
      </c>
      <c r="B15" s="1" t="s">
        <v>4143</v>
      </c>
      <c r="C15" s="1">
        <v>51.0</v>
      </c>
      <c r="D15" s="1">
        <v>10.2</v>
      </c>
      <c r="E15" s="1">
        <v>2.4</v>
      </c>
    </row>
    <row r="16">
      <c r="A16" s="1" t="s">
        <v>2332</v>
      </c>
      <c r="B16" s="1" t="s">
        <v>4144</v>
      </c>
      <c r="C16" s="1">
        <v>50.0</v>
      </c>
      <c r="D16" s="1">
        <v>10.0</v>
      </c>
      <c r="E16" s="1">
        <v>2.35294117647059</v>
      </c>
    </row>
    <row r="17">
      <c r="A17" s="1" t="s">
        <v>2761</v>
      </c>
      <c r="B17" s="1" t="s">
        <v>4145</v>
      </c>
      <c r="C17" s="1">
        <v>46.0</v>
      </c>
      <c r="D17" s="1">
        <v>6.57142857142857</v>
      </c>
      <c r="E17" s="1">
        <v>3.59863945578231</v>
      </c>
    </row>
    <row r="18">
      <c r="A18" s="1" t="s">
        <v>2336</v>
      </c>
      <c r="B18" s="1" t="s">
        <v>4146</v>
      </c>
      <c r="C18" s="1">
        <v>44.0</v>
      </c>
      <c r="D18" s="1">
        <v>11.0</v>
      </c>
      <c r="E18" s="1">
        <v>3.62025316455696</v>
      </c>
    </row>
    <row r="19">
      <c r="A19" s="1" t="s">
        <v>2340</v>
      </c>
      <c r="B19" s="1" t="s">
        <v>4147</v>
      </c>
      <c r="C19" s="1">
        <v>44.0</v>
      </c>
      <c r="D19" s="1">
        <v>11.0</v>
      </c>
      <c r="E19" s="1">
        <v>3.62025316455696</v>
      </c>
    </row>
    <row r="20">
      <c r="A20" s="1" t="s">
        <v>1660</v>
      </c>
      <c r="B20" s="1" t="s">
        <v>4148</v>
      </c>
      <c r="C20" s="1">
        <v>43.0</v>
      </c>
      <c r="D20" s="1">
        <v>8.6</v>
      </c>
      <c r="E20" s="1">
        <v>2.02352941176471</v>
      </c>
    </row>
    <row r="21" ht="15.75" customHeight="1">
      <c r="A21" s="1" t="s">
        <v>1947</v>
      </c>
      <c r="B21" s="1" t="s">
        <v>4149</v>
      </c>
      <c r="C21" s="1">
        <v>43.0</v>
      </c>
      <c r="D21" s="1">
        <v>10.75</v>
      </c>
      <c r="E21" s="1">
        <v>3.5379746835443</v>
      </c>
    </row>
    <row r="22" ht="15.75" customHeight="1">
      <c r="A22" s="1" t="s">
        <v>2765</v>
      </c>
      <c r="B22" s="1" t="s">
        <v>4150</v>
      </c>
      <c r="C22" s="1">
        <v>41.0</v>
      </c>
      <c r="D22" s="1">
        <v>5.85714285714286</v>
      </c>
      <c r="E22" s="1">
        <v>3.20748299319728</v>
      </c>
    </row>
    <row r="23" ht="15.75" customHeight="1">
      <c r="A23" s="1" t="s">
        <v>2769</v>
      </c>
      <c r="B23" s="1" t="s">
        <v>4151</v>
      </c>
      <c r="C23" s="1">
        <v>40.0</v>
      </c>
      <c r="D23" s="1">
        <v>4.0</v>
      </c>
      <c r="E23" s="1">
        <v>1.82741116751269</v>
      </c>
    </row>
    <row r="24" ht="15.75" customHeight="1">
      <c r="A24" s="1" t="s">
        <v>2773</v>
      </c>
      <c r="B24" s="1" t="s">
        <v>4152</v>
      </c>
      <c r="C24" s="1">
        <v>39.0</v>
      </c>
      <c r="D24" s="1">
        <v>13.0</v>
      </c>
      <c r="E24" s="1">
        <v>6.92112676056338</v>
      </c>
    </row>
    <row r="25" ht="15.75" customHeight="1">
      <c r="A25" s="1" t="s">
        <v>2237</v>
      </c>
      <c r="B25" s="1" t="s">
        <v>4153</v>
      </c>
      <c r="C25" s="1">
        <v>37.0</v>
      </c>
      <c r="D25" s="1">
        <v>4.625</v>
      </c>
      <c r="E25" s="1">
        <v>2.90575916230366</v>
      </c>
    </row>
    <row r="26" ht="15.75" customHeight="1">
      <c r="A26" s="1" t="s">
        <v>1951</v>
      </c>
      <c r="B26" s="1" t="s">
        <v>4154</v>
      </c>
      <c r="C26" s="1">
        <v>37.0</v>
      </c>
      <c r="D26" s="1">
        <v>4.625</v>
      </c>
      <c r="E26" s="1">
        <v>2.90575916230366</v>
      </c>
    </row>
    <row r="27" ht="15.75" customHeight="1">
      <c r="A27" s="1" t="s">
        <v>2777</v>
      </c>
      <c r="B27" s="1" t="s">
        <v>4155</v>
      </c>
      <c r="C27" s="1">
        <v>36.0</v>
      </c>
      <c r="D27" s="1">
        <v>7.2</v>
      </c>
      <c r="E27" s="1">
        <v>1.69411764705882</v>
      </c>
    </row>
    <row r="28" ht="15.75" customHeight="1">
      <c r="A28" s="1" t="s">
        <v>1664</v>
      </c>
      <c r="B28" s="1" t="s">
        <v>4156</v>
      </c>
      <c r="C28" s="1">
        <v>36.0</v>
      </c>
      <c r="D28" s="1">
        <v>9.0</v>
      </c>
      <c r="E28" s="1">
        <v>2.9620253164557</v>
      </c>
    </row>
    <row r="29" ht="15.75" customHeight="1">
      <c r="A29" s="1" t="s">
        <v>1954</v>
      </c>
      <c r="B29" s="1" t="s">
        <v>4157</v>
      </c>
      <c r="C29" s="1">
        <v>36.0</v>
      </c>
      <c r="D29" s="1">
        <v>3.6</v>
      </c>
      <c r="E29" s="1">
        <v>1.64467005076142</v>
      </c>
    </row>
    <row r="30" ht="15.75" customHeight="1">
      <c r="A30" s="1" t="s">
        <v>2781</v>
      </c>
      <c r="B30" s="1" t="s">
        <v>4158</v>
      </c>
      <c r="C30" s="1">
        <v>35.0</v>
      </c>
      <c r="D30" s="1">
        <v>7.0</v>
      </c>
      <c r="E30" s="1">
        <v>1.64705882352941</v>
      </c>
    </row>
    <row r="31" ht="15.75" customHeight="1">
      <c r="A31" s="1" t="s">
        <v>2344</v>
      </c>
      <c r="B31" s="1" t="s">
        <v>4159</v>
      </c>
      <c r="C31" s="1">
        <v>33.0</v>
      </c>
      <c r="D31" s="1">
        <v>2.35714285714286</v>
      </c>
      <c r="E31" s="1">
        <v>1.71875</v>
      </c>
    </row>
    <row r="32" ht="15.75" customHeight="1">
      <c r="A32" s="1" t="s">
        <v>2348</v>
      </c>
      <c r="B32" s="1" t="s">
        <v>4160</v>
      </c>
      <c r="C32" s="1">
        <v>33.0</v>
      </c>
      <c r="D32" s="1">
        <v>8.25</v>
      </c>
      <c r="E32" s="1">
        <v>2.71518987341772</v>
      </c>
    </row>
    <row r="33" ht="15.75" customHeight="1">
      <c r="A33" s="1" t="s">
        <v>1668</v>
      </c>
      <c r="B33" s="1" t="s">
        <v>4161</v>
      </c>
      <c r="C33" s="1">
        <v>32.0</v>
      </c>
      <c r="D33" s="1">
        <v>10.6666666666667</v>
      </c>
      <c r="E33" s="1">
        <v>5.67887323943662</v>
      </c>
    </row>
    <row r="34" ht="15.75" customHeight="1">
      <c r="A34" s="1" t="s">
        <v>2352</v>
      </c>
      <c r="B34" s="1" t="s">
        <v>4162</v>
      </c>
      <c r="C34" s="1">
        <v>32.0</v>
      </c>
      <c r="D34" s="1">
        <v>6.4</v>
      </c>
      <c r="E34" s="1">
        <v>1.50588235294118</v>
      </c>
    </row>
    <row r="35" ht="15.75" customHeight="1">
      <c r="A35" s="1" t="s">
        <v>3074</v>
      </c>
      <c r="B35" s="1" t="s">
        <v>4163</v>
      </c>
      <c r="C35" s="1">
        <v>30.0</v>
      </c>
      <c r="D35" s="1">
        <v>7.5</v>
      </c>
      <c r="E35" s="1">
        <v>2.46835443037975</v>
      </c>
    </row>
    <row r="36" ht="15.75" customHeight="1">
      <c r="A36" s="1" t="s">
        <v>1958</v>
      </c>
      <c r="B36" s="1" t="s">
        <v>4164</v>
      </c>
      <c r="C36" s="1">
        <v>30.0</v>
      </c>
      <c r="D36" s="1">
        <v>5.0</v>
      </c>
      <c r="E36" s="1">
        <v>3.36633663366337</v>
      </c>
    </row>
    <row r="37" ht="15.75" customHeight="1">
      <c r="A37" s="1" t="s">
        <v>2356</v>
      </c>
      <c r="B37" s="1" t="s">
        <v>4165</v>
      </c>
      <c r="C37" s="1">
        <v>29.0</v>
      </c>
      <c r="D37" s="1">
        <v>5.8</v>
      </c>
      <c r="E37" s="1">
        <v>1.36470588235294</v>
      </c>
    </row>
    <row r="38" ht="15.75" customHeight="1">
      <c r="A38" s="1" t="s">
        <v>2360</v>
      </c>
      <c r="B38" s="1" t="s">
        <v>4166</v>
      </c>
      <c r="C38" s="1">
        <v>29.0</v>
      </c>
      <c r="D38" s="1">
        <v>9.66666666666667</v>
      </c>
      <c r="E38" s="1">
        <v>5.14647887323944</v>
      </c>
    </row>
    <row r="39" ht="15.75" customHeight="1">
      <c r="A39" s="1" t="s">
        <v>3078</v>
      </c>
      <c r="B39" s="1" t="s">
        <v>4167</v>
      </c>
      <c r="C39" s="1">
        <v>29.0</v>
      </c>
      <c r="D39" s="1">
        <v>3.625</v>
      </c>
      <c r="E39" s="1">
        <v>2.27748691099476</v>
      </c>
    </row>
    <row r="40" ht="15.75" customHeight="1">
      <c r="A40" s="1" t="s">
        <v>2785</v>
      </c>
      <c r="B40" s="1" t="s">
        <v>4168</v>
      </c>
      <c r="C40" s="1">
        <v>28.0</v>
      </c>
      <c r="D40" s="1">
        <v>3.11111111111111</v>
      </c>
      <c r="E40" s="1">
        <v>3.14606741573034</v>
      </c>
    </row>
    <row r="41" ht="15.75" customHeight="1">
      <c r="A41" s="1" t="s">
        <v>2364</v>
      </c>
      <c r="B41" s="1" t="s">
        <v>4169</v>
      </c>
      <c r="C41" s="1">
        <v>28.0</v>
      </c>
      <c r="D41" s="1">
        <v>14.0</v>
      </c>
      <c r="E41" s="1">
        <v>9.02092050209205</v>
      </c>
    </row>
    <row r="42" ht="15.75" customHeight="1">
      <c r="A42" s="1" t="s">
        <v>2789</v>
      </c>
      <c r="B42" s="1" t="s">
        <v>4170</v>
      </c>
      <c r="C42" s="1">
        <v>26.0</v>
      </c>
      <c r="D42" s="1">
        <v>3.71428571428571</v>
      </c>
      <c r="E42" s="1">
        <v>2.03401360544218</v>
      </c>
    </row>
    <row r="43" ht="15.75" customHeight="1">
      <c r="A43" s="1" t="s">
        <v>1961</v>
      </c>
      <c r="B43" s="1" t="s">
        <v>4171</v>
      </c>
      <c r="C43" s="1">
        <v>26.0</v>
      </c>
      <c r="D43" s="1">
        <v>2.6</v>
      </c>
      <c r="E43" s="1">
        <v>1.18781725888325</v>
      </c>
    </row>
    <row r="44" ht="15.75" customHeight="1">
      <c r="A44" s="1" t="s">
        <v>1965</v>
      </c>
      <c r="B44" s="1" t="s">
        <v>4172</v>
      </c>
      <c r="C44" s="1">
        <v>25.0</v>
      </c>
      <c r="D44" s="1">
        <v>5.0</v>
      </c>
      <c r="E44" s="1">
        <v>1.17647058823529</v>
      </c>
    </row>
    <row r="45" ht="15.75" customHeight="1">
      <c r="A45" s="1" t="s">
        <v>2368</v>
      </c>
      <c r="B45" s="1" t="s">
        <v>4173</v>
      </c>
      <c r="C45" s="1">
        <v>25.0</v>
      </c>
      <c r="D45" s="1">
        <v>4.16666666666667</v>
      </c>
      <c r="E45" s="1">
        <v>2.80528052805281</v>
      </c>
    </row>
    <row r="46" ht="15.75" customHeight="1">
      <c r="A46" s="1" t="s">
        <v>1969</v>
      </c>
      <c r="B46" s="1" t="s">
        <v>4174</v>
      </c>
      <c r="C46" s="1">
        <v>25.0</v>
      </c>
      <c r="D46" s="1">
        <v>3.57142857142857</v>
      </c>
      <c r="E46" s="1">
        <v>1.95578231292517</v>
      </c>
    </row>
    <row r="47" ht="15.75" customHeight="1">
      <c r="A47" s="1" t="s">
        <v>1973</v>
      </c>
      <c r="B47" s="1" t="s">
        <v>4175</v>
      </c>
      <c r="C47" s="1">
        <v>23.0</v>
      </c>
      <c r="D47" s="1">
        <v>2.875</v>
      </c>
      <c r="E47" s="1">
        <v>1.80628272251309</v>
      </c>
    </row>
    <row r="48" ht="15.75" customHeight="1">
      <c r="A48" s="1" t="s">
        <v>1672</v>
      </c>
      <c r="B48" s="1" t="s">
        <v>4176</v>
      </c>
      <c r="C48" s="1">
        <v>23.0</v>
      </c>
      <c r="D48" s="1">
        <v>5.75</v>
      </c>
      <c r="E48" s="1">
        <v>1.89240506329114</v>
      </c>
    </row>
    <row r="49" ht="15.75" customHeight="1">
      <c r="A49" s="1" t="s">
        <v>1977</v>
      </c>
      <c r="B49" s="1" t="s">
        <v>4177</v>
      </c>
      <c r="C49" s="1">
        <v>23.0</v>
      </c>
      <c r="D49" s="1">
        <v>4.6</v>
      </c>
      <c r="E49" s="1">
        <v>1.08235294117647</v>
      </c>
    </row>
    <row r="50" ht="15.75" customHeight="1">
      <c r="A50" s="1" t="s">
        <v>1980</v>
      </c>
      <c r="B50" s="1" t="s">
        <v>4178</v>
      </c>
      <c r="C50" s="1">
        <v>23.0</v>
      </c>
      <c r="D50" s="1">
        <v>2.875</v>
      </c>
      <c r="E50" s="1">
        <v>1.80628272251309</v>
      </c>
    </row>
    <row r="51" ht="15.75" customHeight="1">
      <c r="A51" s="1" t="s">
        <v>3082</v>
      </c>
      <c r="B51" s="1" t="s">
        <v>4179</v>
      </c>
      <c r="C51" s="1">
        <v>23.0</v>
      </c>
      <c r="D51" s="1">
        <v>1.64285714285714</v>
      </c>
      <c r="E51" s="1">
        <v>1.19791666666667</v>
      </c>
    </row>
    <row r="52" ht="15.75" customHeight="1">
      <c r="A52" s="1" t="s">
        <v>1984</v>
      </c>
      <c r="B52" s="1" t="s">
        <v>4180</v>
      </c>
      <c r="C52" s="1">
        <v>21.0</v>
      </c>
      <c r="D52" s="1">
        <v>1.5</v>
      </c>
      <c r="E52" s="1">
        <v>1.09375</v>
      </c>
    </row>
    <row r="53" ht="15.75" customHeight="1">
      <c r="A53" s="1" t="s">
        <v>1676</v>
      </c>
      <c r="B53" s="1" t="s">
        <v>4181</v>
      </c>
      <c r="C53" s="1">
        <v>21.0</v>
      </c>
      <c r="D53" s="1">
        <v>5.25</v>
      </c>
      <c r="E53" s="1">
        <v>1.72784810126582</v>
      </c>
    </row>
    <row r="54" ht="15.75" customHeight="1">
      <c r="A54" s="1" t="s">
        <v>1988</v>
      </c>
      <c r="B54" s="1" t="s">
        <v>4182</v>
      </c>
      <c r="C54" s="1">
        <v>21.0</v>
      </c>
      <c r="D54" s="1">
        <v>4.2</v>
      </c>
      <c r="E54" s="1">
        <v>0.988235294117647</v>
      </c>
    </row>
    <row r="55" ht="15.75" customHeight="1">
      <c r="A55" s="1" t="s">
        <v>2371</v>
      </c>
      <c r="B55" s="1" t="s">
        <v>4183</v>
      </c>
      <c r="C55" s="1">
        <v>20.0</v>
      </c>
      <c r="D55" s="1">
        <v>2.85714285714286</v>
      </c>
      <c r="E55" s="1">
        <v>1.56462585034014</v>
      </c>
    </row>
    <row r="56" ht="15.75" customHeight="1">
      <c r="A56" s="1" t="s">
        <v>1680</v>
      </c>
      <c r="B56" s="1" t="s">
        <v>4184</v>
      </c>
      <c r="C56" s="1">
        <v>20.0</v>
      </c>
      <c r="D56" s="1">
        <v>5.0</v>
      </c>
      <c r="E56" s="1">
        <v>1.64556962025316</v>
      </c>
    </row>
    <row r="57" ht="15.75" customHeight="1">
      <c r="A57" s="1" t="s">
        <v>3086</v>
      </c>
      <c r="B57" s="1" t="s">
        <v>4185</v>
      </c>
      <c r="C57" s="1">
        <v>19.0</v>
      </c>
      <c r="D57" s="1">
        <v>3.8</v>
      </c>
      <c r="E57" s="1">
        <v>0.894117647058824</v>
      </c>
    </row>
    <row r="58" ht="15.75" customHeight="1">
      <c r="A58" s="1" t="s">
        <v>2793</v>
      </c>
      <c r="B58" s="1" t="s">
        <v>4186</v>
      </c>
      <c r="C58" s="1">
        <v>19.0</v>
      </c>
      <c r="D58" s="1">
        <v>9.5</v>
      </c>
      <c r="E58" s="1">
        <v>6.12133891213389</v>
      </c>
    </row>
    <row r="59" ht="15.75" customHeight="1">
      <c r="A59" s="1" t="s">
        <v>3090</v>
      </c>
      <c r="B59" s="1" t="s">
        <v>4187</v>
      </c>
      <c r="C59" s="1">
        <v>19.0</v>
      </c>
      <c r="D59" s="1">
        <v>4.75</v>
      </c>
      <c r="E59" s="1">
        <v>1.56329113924051</v>
      </c>
    </row>
    <row r="60" ht="15.75" customHeight="1">
      <c r="A60" s="1" t="s">
        <v>2797</v>
      </c>
      <c r="B60" s="1" t="s">
        <v>4188</v>
      </c>
      <c r="C60" s="1">
        <v>18.0</v>
      </c>
      <c r="D60" s="1">
        <v>3.6</v>
      </c>
      <c r="E60" s="1">
        <v>0.847058823529412</v>
      </c>
    </row>
    <row r="61" ht="15.75" customHeight="1">
      <c r="A61" s="1" t="s">
        <v>1991</v>
      </c>
      <c r="B61" s="1" t="s">
        <v>4189</v>
      </c>
      <c r="C61" s="1">
        <v>18.0</v>
      </c>
      <c r="D61" s="1">
        <v>1.05882352941176</v>
      </c>
      <c r="E61" s="1">
        <v>1.38461538461538</v>
      </c>
    </row>
    <row r="62" ht="15.75" customHeight="1">
      <c r="A62" s="1" t="s">
        <v>2374</v>
      </c>
      <c r="B62" s="1" t="s">
        <v>4190</v>
      </c>
      <c r="C62" s="1">
        <v>17.0</v>
      </c>
      <c r="D62" s="1">
        <v>2.83333333333333</v>
      </c>
      <c r="E62" s="1">
        <v>1.90759075907591</v>
      </c>
    </row>
    <row r="63" ht="15.75" customHeight="1">
      <c r="A63" s="1" t="s">
        <v>2378</v>
      </c>
      <c r="B63" s="1" t="s">
        <v>4191</v>
      </c>
      <c r="C63" s="1">
        <v>17.0</v>
      </c>
      <c r="D63" s="1">
        <v>2.125</v>
      </c>
      <c r="E63" s="1">
        <v>1.33507853403141</v>
      </c>
    </row>
    <row r="64" ht="15.75" customHeight="1">
      <c r="A64" s="1" t="s">
        <v>3094</v>
      </c>
      <c r="B64" s="1" t="s">
        <v>4192</v>
      </c>
      <c r="C64" s="1">
        <v>17.0</v>
      </c>
      <c r="D64" s="1">
        <v>1.54545454545455</v>
      </c>
      <c r="E64" s="1">
        <v>0.336633663366337</v>
      </c>
    </row>
    <row r="65" ht="15.75" customHeight="1">
      <c r="A65" s="1" t="s">
        <v>3098</v>
      </c>
      <c r="B65" s="1" t="s">
        <v>4193</v>
      </c>
      <c r="C65" s="1">
        <v>17.0</v>
      </c>
      <c r="D65" s="1">
        <v>1.0</v>
      </c>
      <c r="E65" s="1">
        <v>1.30769230769231</v>
      </c>
    </row>
    <row r="66" ht="15.75" customHeight="1">
      <c r="A66" s="1" t="s">
        <v>1995</v>
      </c>
      <c r="B66" s="1" t="s">
        <v>4194</v>
      </c>
      <c r="C66" s="1">
        <v>16.0</v>
      </c>
      <c r="D66" s="1">
        <v>8.0</v>
      </c>
      <c r="E66" s="1">
        <v>5.15481171548117</v>
      </c>
    </row>
    <row r="67" ht="15.75" customHeight="1">
      <c r="A67" s="1" t="s">
        <v>1999</v>
      </c>
      <c r="B67" s="1" t="s">
        <v>4195</v>
      </c>
      <c r="C67" s="1">
        <v>16.0</v>
      </c>
      <c r="D67" s="1">
        <v>1.6</v>
      </c>
      <c r="E67" s="1">
        <v>0.730964467005076</v>
      </c>
    </row>
    <row r="68" ht="15.75" customHeight="1">
      <c r="A68" s="1" t="s">
        <v>2801</v>
      </c>
      <c r="B68" s="1" t="s">
        <v>4196</v>
      </c>
      <c r="C68" s="1">
        <v>16.0</v>
      </c>
      <c r="D68" s="1">
        <v>1.0</v>
      </c>
      <c r="E68" s="1">
        <v>2.08695652173913</v>
      </c>
    </row>
    <row r="69" ht="15.75" customHeight="1">
      <c r="A69" s="1" t="s">
        <v>2805</v>
      </c>
      <c r="B69" s="1" t="s">
        <v>4197</v>
      </c>
      <c r="C69" s="1">
        <v>15.0</v>
      </c>
      <c r="D69" s="1">
        <v>3.0</v>
      </c>
      <c r="E69" s="1">
        <v>0.705882352941177</v>
      </c>
    </row>
    <row r="70" ht="15.75" customHeight="1">
      <c r="A70" s="1" t="s">
        <v>2381</v>
      </c>
      <c r="B70" s="1" t="s">
        <v>4198</v>
      </c>
      <c r="C70" s="1">
        <v>15.0</v>
      </c>
      <c r="D70" s="1">
        <v>2.5</v>
      </c>
      <c r="E70" s="1">
        <v>1.68316831683168</v>
      </c>
    </row>
    <row r="71" ht="15.75" customHeight="1">
      <c r="A71" s="1" t="s">
        <v>2241</v>
      </c>
      <c r="B71" s="1" t="s">
        <v>4199</v>
      </c>
      <c r="C71" s="1">
        <v>15.0</v>
      </c>
      <c r="D71" s="1">
        <v>3.0</v>
      </c>
      <c r="E71" s="1">
        <v>0.705882352941177</v>
      </c>
    </row>
    <row r="72" ht="15.75" customHeight="1">
      <c r="A72" s="1" t="s">
        <v>1684</v>
      </c>
      <c r="B72" s="1" t="s">
        <v>4200</v>
      </c>
      <c r="C72" s="1">
        <v>15.0</v>
      </c>
      <c r="D72" s="1">
        <v>3.0</v>
      </c>
      <c r="E72" s="1">
        <v>0.705882352941177</v>
      </c>
    </row>
    <row r="73" ht="15.75" customHeight="1">
      <c r="A73" s="1" t="s">
        <v>2809</v>
      </c>
      <c r="B73" s="1" t="s">
        <v>4201</v>
      </c>
      <c r="C73" s="1">
        <v>15.0</v>
      </c>
      <c r="D73" s="1">
        <v>3.75</v>
      </c>
      <c r="E73" s="1">
        <v>1.23417721518987</v>
      </c>
    </row>
    <row r="74" ht="15.75" customHeight="1">
      <c r="A74" s="1" t="s">
        <v>3102</v>
      </c>
      <c r="B74" s="1" t="s">
        <v>4202</v>
      </c>
      <c r="C74" s="1">
        <v>15.0</v>
      </c>
      <c r="D74" s="1">
        <v>2.5</v>
      </c>
      <c r="E74" s="1">
        <v>1.68316831683168</v>
      </c>
    </row>
    <row r="75" ht="15.75" customHeight="1">
      <c r="A75" s="1" t="s">
        <v>2384</v>
      </c>
      <c r="B75" s="1" t="s">
        <v>4203</v>
      </c>
      <c r="C75" s="1">
        <v>14.0</v>
      </c>
      <c r="D75" s="1">
        <v>2.8</v>
      </c>
      <c r="E75" s="1">
        <v>0.658823529411765</v>
      </c>
    </row>
    <row r="76" ht="15.75" customHeight="1">
      <c r="A76" s="1" t="s">
        <v>2813</v>
      </c>
      <c r="B76" s="1" t="s">
        <v>4204</v>
      </c>
      <c r="C76" s="1">
        <v>14.0</v>
      </c>
      <c r="D76" s="1">
        <v>1.4</v>
      </c>
      <c r="E76" s="1">
        <v>0.639593908629442</v>
      </c>
    </row>
    <row r="77" ht="15.75" customHeight="1">
      <c r="A77" s="1" t="s">
        <v>3106</v>
      </c>
      <c r="B77" s="1" t="s">
        <v>4205</v>
      </c>
      <c r="C77" s="1">
        <v>14.0</v>
      </c>
      <c r="D77" s="1">
        <v>2.33333333333333</v>
      </c>
      <c r="E77" s="1">
        <v>1.57095709570957</v>
      </c>
    </row>
    <row r="78" ht="15.75" customHeight="1">
      <c r="A78" s="1" t="s">
        <v>2817</v>
      </c>
      <c r="B78" s="1" t="s">
        <v>4206</v>
      </c>
      <c r="C78" s="1">
        <v>14.0</v>
      </c>
      <c r="D78" s="1">
        <v>3.5</v>
      </c>
      <c r="E78" s="1">
        <v>1.15189873417722</v>
      </c>
    </row>
    <row r="79" ht="15.75" customHeight="1">
      <c r="A79" s="1" t="s">
        <v>1688</v>
      </c>
      <c r="B79" s="1" t="s">
        <v>4207</v>
      </c>
      <c r="C79" s="1">
        <v>14.0</v>
      </c>
      <c r="D79" s="1">
        <v>2.8</v>
      </c>
      <c r="E79" s="1">
        <v>0.658823529411765</v>
      </c>
    </row>
    <row r="80" ht="15.75" customHeight="1">
      <c r="A80" s="1" t="s">
        <v>2003</v>
      </c>
      <c r="B80" s="1" t="s">
        <v>4208</v>
      </c>
      <c r="C80" s="1">
        <v>14.0</v>
      </c>
      <c r="D80" s="1">
        <v>2.8</v>
      </c>
      <c r="E80" s="1">
        <v>0.658823529411765</v>
      </c>
    </row>
    <row r="81" ht="15.75" customHeight="1">
      <c r="A81" s="1" t="s">
        <v>2245</v>
      </c>
      <c r="B81" s="1" t="s">
        <v>4209</v>
      </c>
      <c r="C81" s="1">
        <v>14.0</v>
      </c>
      <c r="D81" s="1">
        <v>1.55555555555556</v>
      </c>
      <c r="E81" s="1">
        <v>1.57303370786517</v>
      </c>
    </row>
    <row r="82" ht="15.75" customHeight="1">
      <c r="A82" s="1" t="s">
        <v>2821</v>
      </c>
      <c r="B82" s="1" t="s">
        <v>4210</v>
      </c>
      <c r="C82" s="1">
        <v>14.0</v>
      </c>
      <c r="D82" s="1">
        <v>1.55555555555556</v>
      </c>
      <c r="E82" s="1">
        <v>1.57303370786517</v>
      </c>
    </row>
    <row r="83" ht="15.75" customHeight="1">
      <c r="A83" s="1" t="s">
        <v>3110</v>
      </c>
      <c r="B83" s="1" t="s">
        <v>4211</v>
      </c>
      <c r="C83" s="1">
        <v>14.0</v>
      </c>
      <c r="D83" s="1">
        <v>0.777777777777778</v>
      </c>
      <c r="E83" s="1">
        <v>0.0877742946708464</v>
      </c>
    </row>
    <row r="84" ht="15.75" customHeight="1">
      <c r="A84" s="1" t="s">
        <v>3114</v>
      </c>
      <c r="B84" s="1" t="s">
        <v>4212</v>
      </c>
      <c r="C84" s="1">
        <v>14.0</v>
      </c>
      <c r="D84" s="1">
        <v>0.608695652173913</v>
      </c>
      <c r="E84" s="1">
        <v>1.0</v>
      </c>
    </row>
    <row r="85" ht="15.75" customHeight="1">
      <c r="A85" s="1" t="s">
        <v>2825</v>
      </c>
      <c r="B85" s="1" t="s">
        <v>4213</v>
      </c>
      <c r="C85" s="1">
        <v>13.0</v>
      </c>
      <c r="D85" s="1">
        <v>1.85714285714286</v>
      </c>
      <c r="E85" s="1">
        <v>1.01700680272109</v>
      </c>
    </row>
    <row r="86" ht="15.75" customHeight="1">
      <c r="A86" s="1" t="s">
        <v>1692</v>
      </c>
      <c r="B86" s="1" t="s">
        <v>4214</v>
      </c>
      <c r="C86" s="1">
        <v>13.0</v>
      </c>
      <c r="D86" s="1">
        <v>4.33333333333333</v>
      </c>
      <c r="E86" s="1">
        <v>2.30704225352113</v>
      </c>
    </row>
    <row r="87" ht="15.75" customHeight="1">
      <c r="A87" s="1" t="s">
        <v>2388</v>
      </c>
      <c r="B87" s="1" t="s">
        <v>4215</v>
      </c>
      <c r="C87" s="1">
        <v>13.0</v>
      </c>
      <c r="D87" s="1">
        <v>6.5</v>
      </c>
      <c r="E87" s="1">
        <v>4.18828451882845</v>
      </c>
    </row>
    <row r="88" ht="15.75" customHeight="1">
      <c r="A88" s="1" t="s">
        <v>2007</v>
      </c>
      <c r="B88" s="1" t="s">
        <v>4216</v>
      </c>
      <c r="C88" s="1">
        <v>13.0</v>
      </c>
      <c r="D88" s="1">
        <v>6.5</v>
      </c>
      <c r="E88" s="1">
        <v>4.18828451882845</v>
      </c>
    </row>
    <row r="89" ht="15.75" customHeight="1">
      <c r="A89" s="1" t="s">
        <v>2829</v>
      </c>
      <c r="B89" s="1" t="s">
        <v>4217</v>
      </c>
      <c r="C89" s="1">
        <v>13.0</v>
      </c>
      <c r="D89" s="1">
        <v>1.3</v>
      </c>
      <c r="E89" s="1">
        <v>0.593908629441624</v>
      </c>
    </row>
    <row r="90" ht="15.75" customHeight="1">
      <c r="A90" s="1" t="s">
        <v>3118</v>
      </c>
      <c r="B90" s="1" t="s">
        <v>4218</v>
      </c>
      <c r="C90" s="1">
        <v>13.0</v>
      </c>
      <c r="D90" s="1">
        <v>0.8125</v>
      </c>
      <c r="E90" s="1">
        <v>1.69565217391304</v>
      </c>
    </row>
    <row r="91" ht="15.75" customHeight="1">
      <c r="A91" s="1" t="s">
        <v>1696</v>
      </c>
      <c r="B91" s="1" t="s">
        <v>4219</v>
      </c>
      <c r="C91" s="1">
        <v>12.0</v>
      </c>
      <c r="D91" s="1">
        <v>1.71428571428571</v>
      </c>
      <c r="E91" s="1">
        <v>0.938775510204082</v>
      </c>
    </row>
    <row r="92" ht="15.75" customHeight="1">
      <c r="A92" s="1" t="s">
        <v>2011</v>
      </c>
      <c r="B92" s="1" t="s">
        <v>4220</v>
      </c>
      <c r="C92" s="1">
        <v>12.0</v>
      </c>
      <c r="D92" s="1">
        <v>3.0</v>
      </c>
      <c r="E92" s="1">
        <v>0.987341772151899</v>
      </c>
    </row>
    <row r="93" ht="15.75" customHeight="1">
      <c r="A93" s="1" t="s">
        <v>3121</v>
      </c>
      <c r="B93" s="1" t="s">
        <v>4221</v>
      </c>
      <c r="C93" s="1">
        <v>12.0</v>
      </c>
      <c r="D93" s="1">
        <v>2.0</v>
      </c>
      <c r="E93" s="1">
        <v>1.34653465346535</v>
      </c>
    </row>
    <row r="94" ht="15.75" customHeight="1">
      <c r="A94" s="1" t="s">
        <v>3125</v>
      </c>
      <c r="B94" s="1" t="s">
        <v>4222</v>
      </c>
      <c r="C94" s="1">
        <v>12.0</v>
      </c>
      <c r="D94" s="1">
        <v>3.0</v>
      </c>
      <c r="E94" s="1">
        <v>0.987341772151899</v>
      </c>
    </row>
    <row r="95" ht="15.75" customHeight="1">
      <c r="A95" s="1" t="s">
        <v>1700</v>
      </c>
      <c r="B95" s="1" t="s">
        <v>4223</v>
      </c>
      <c r="C95" s="1">
        <v>12.0</v>
      </c>
      <c r="D95" s="1">
        <v>3.0</v>
      </c>
      <c r="E95" s="1">
        <v>0.987341772151899</v>
      </c>
    </row>
    <row r="96" ht="15.75" customHeight="1">
      <c r="A96" s="1" t="s">
        <v>2249</v>
      </c>
      <c r="B96" s="1" t="s">
        <v>4224</v>
      </c>
      <c r="C96" s="1">
        <v>12.0</v>
      </c>
      <c r="D96" s="1">
        <v>2.4</v>
      </c>
      <c r="E96" s="1">
        <v>0.564705882352941</v>
      </c>
    </row>
    <row r="97" ht="15.75" customHeight="1">
      <c r="A97" s="1" t="s">
        <v>3128</v>
      </c>
      <c r="B97" s="1" t="s">
        <v>4225</v>
      </c>
      <c r="C97" s="1">
        <v>12.0</v>
      </c>
      <c r="D97" s="1">
        <v>1.71428571428571</v>
      </c>
      <c r="E97" s="1">
        <v>0.938775510204082</v>
      </c>
    </row>
    <row r="98" ht="15.75" customHeight="1">
      <c r="A98" s="1" t="s">
        <v>2832</v>
      </c>
      <c r="B98" s="1" t="s">
        <v>4226</v>
      </c>
      <c r="C98" s="1">
        <v>12.0</v>
      </c>
      <c r="D98" s="1">
        <v>0.857142857142857</v>
      </c>
      <c r="E98" s="1">
        <v>0.625</v>
      </c>
    </row>
    <row r="99" ht="15.75" customHeight="1">
      <c r="A99" s="1" t="s">
        <v>2392</v>
      </c>
      <c r="B99" s="1" t="s">
        <v>4227</v>
      </c>
      <c r="C99" s="1">
        <v>11.0</v>
      </c>
      <c r="D99" s="1">
        <v>2.75</v>
      </c>
      <c r="E99" s="1">
        <v>0.905063291139241</v>
      </c>
    </row>
    <row r="100" ht="15.75" customHeight="1">
      <c r="A100" s="1" t="s">
        <v>1704</v>
      </c>
      <c r="B100" s="1" t="s">
        <v>4228</v>
      </c>
      <c r="C100" s="1">
        <v>11.0</v>
      </c>
      <c r="D100" s="1">
        <v>1.83333333333333</v>
      </c>
      <c r="E100" s="1">
        <v>1.23432343234323</v>
      </c>
    </row>
    <row r="101" ht="15.75" customHeight="1">
      <c r="A101" s="1" t="s">
        <v>3132</v>
      </c>
      <c r="B101" s="1" t="s">
        <v>4229</v>
      </c>
      <c r="C101" s="1">
        <v>11.0</v>
      </c>
      <c r="D101" s="1">
        <v>11.0</v>
      </c>
      <c r="E101" s="1">
        <v>11.9428571428571</v>
      </c>
    </row>
    <row r="102" ht="15.75" customHeight="1">
      <c r="A102" s="1" t="s">
        <v>2253</v>
      </c>
      <c r="B102" s="1" t="s">
        <v>4230</v>
      </c>
      <c r="C102" s="1">
        <v>11.0</v>
      </c>
      <c r="D102" s="1">
        <v>2.2</v>
      </c>
      <c r="E102" s="1">
        <v>0.517647058823529</v>
      </c>
    </row>
    <row r="103" ht="15.75" customHeight="1">
      <c r="A103" s="1" t="s">
        <v>2396</v>
      </c>
      <c r="B103" s="1" t="s">
        <v>4231</v>
      </c>
      <c r="C103" s="1">
        <v>11.0</v>
      </c>
      <c r="D103" s="1">
        <v>2.75</v>
      </c>
      <c r="E103" s="1">
        <v>0.905063291139241</v>
      </c>
    </row>
    <row r="104" ht="15.75" customHeight="1">
      <c r="A104" s="1" t="s">
        <v>2400</v>
      </c>
      <c r="B104" s="1" t="s">
        <v>4232</v>
      </c>
      <c r="C104" s="1">
        <v>11.0</v>
      </c>
      <c r="D104" s="1">
        <v>5.5</v>
      </c>
      <c r="E104" s="1">
        <v>3.54393305439331</v>
      </c>
    </row>
    <row r="105" ht="15.75" customHeight="1">
      <c r="A105" s="1" t="s">
        <v>2404</v>
      </c>
      <c r="B105" s="1" t="s">
        <v>4233</v>
      </c>
      <c r="C105" s="1">
        <v>11.0</v>
      </c>
      <c r="D105" s="1">
        <v>3.66666666666667</v>
      </c>
      <c r="E105" s="1">
        <v>1.95211267605634</v>
      </c>
    </row>
    <row r="106" ht="15.75" customHeight="1">
      <c r="A106" s="1" t="s">
        <v>2015</v>
      </c>
      <c r="B106" s="1" t="s">
        <v>4234</v>
      </c>
      <c r="C106" s="1">
        <v>11.0</v>
      </c>
      <c r="D106" s="1">
        <v>0.647058823529412</v>
      </c>
      <c r="E106" s="1">
        <v>0.846153846153846</v>
      </c>
    </row>
    <row r="107" ht="15.75" customHeight="1">
      <c r="A107" s="1" t="s">
        <v>2256</v>
      </c>
      <c r="B107" s="1" t="s">
        <v>4235</v>
      </c>
      <c r="C107" s="1">
        <v>10.0</v>
      </c>
      <c r="D107" s="1">
        <v>1.66666666666667</v>
      </c>
      <c r="E107" s="1">
        <v>1.12211221122112</v>
      </c>
    </row>
    <row r="108" ht="15.75" customHeight="1">
      <c r="A108" s="1" t="s">
        <v>2835</v>
      </c>
      <c r="B108" s="1" t="s">
        <v>4236</v>
      </c>
      <c r="C108" s="1">
        <v>10.0</v>
      </c>
      <c r="D108" s="1">
        <v>3.33333333333333</v>
      </c>
      <c r="E108" s="1">
        <v>1.77464788732394</v>
      </c>
    </row>
    <row r="109" ht="15.75" customHeight="1">
      <c r="A109" s="1" t="s">
        <v>1708</v>
      </c>
      <c r="B109" s="1" t="s">
        <v>4237</v>
      </c>
      <c r="C109" s="1">
        <v>10.0</v>
      </c>
      <c r="D109" s="1">
        <v>3.33333333333333</v>
      </c>
      <c r="E109" s="1">
        <v>1.77464788732394</v>
      </c>
    </row>
    <row r="110" ht="15.75" customHeight="1">
      <c r="A110" s="1" t="s">
        <v>2019</v>
      </c>
      <c r="B110" s="1" t="s">
        <v>4238</v>
      </c>
      <c r="C110" s="1">
        <v>10.0</v>
      </c>
      <c r="D110" s="1">
        <v>3.33333333333333</v>
      </c>
      <c r="E110" s="1">
        <v>1.77464788732394</v>
      </c>
    </row>
    <row r="111" ht="15.75" customHeight="1">
      <c r="A111" s="1" t="s">
        <v>2408</v>
      </c>
      <c r="B111" s="1" t="s">
        <v>4239</v>
      </c>
      <c r="C111" s="1">
        <v>10.0</v>
      </c>
      <c r="D111" s="1">
        <v>3.33333333333333</v>
      </c>
      <c r="E111" s="1">
        <v>1.77464788732394</v>
      </c>
    </row>
    <row r="112" ht="15.75" customHeight="1">
      <c r="A112" s="1" t="s">
        <v>3136</v>
      </c>
      <c r="B112" s="1" t="s">
        <v>4240</v>
      </c>
      <c r="C112" s="1">
        <v>10.0</v>
      </c>
      <c r="D112" s="1">
        <v>2.5</v>
      </c>
      <c r="E112" s="1">
        <v>0.822784810126582</v>
      </c>
    </row>
    <row r="113" ht="15.75" customHeight="1">
      <c r="A113" s="1" t="s">
        <v>3139</v>
      </c>
      <c r="B113" s="1" t="s">
        <v>4241</v>
      </c>
      <c r="C113" s="1">
        <v>10.0</v>
      </c>
      <c r="D113" s="1">
        <v>2.0</v>
      </c>
      <c r="E113" s="1">
        <v>0.470588235294118</v>
      </c>
    </row>
    <row r="114" ht="15.75" customHeight="1">
      <c r="A114" s="1" t="s">
        <v>2023</v>
      </c>
      <c r="B114" s="1" t="s">
        <v>4242</v>
      </c>
      <c r="C114" s="1">
        <v>10.0</v>
      </c>
      <c r="D114" s="1">
        <v>1.25</v>
      </c>
      <c r="E114" s="1">
        <v>0.785340314136126</v>
      </c>
    </row>
    <row r="115" ht="15.75" customHeight="1">
      <c r="A115" s="1" t="s">
        <v>1712</v>
      </c>
      <c r="B115" s="1" t="s">
        <v>4243</v>
      </c>
      <c r="C115" s="1">
        <v>10.0</v>
      </c>
      <c r="D115" s="1">
        <v>1.0</v>
      </c>
      <c r="E115" s="1">
        <v>0.456852791878173</v>
      </c>
    </row>
    <row r="116" ht="15.75" customHeight="1">
      <c r="A116" s="1" t="s">
        <v>3143</v>
      </c>
      <c r="B116" s="1" t="s">
        <v>4244</v>
      </c>
      <c r="C116" s="1">
        <v>10.0</v>
      </c>
      <c r="D116" s="1">
        <v>0.526315789473684</v>
      </c>
      <c r="E116" s="1">
        <v>1.5</v>
      </c>
    </row>
    <row r="117" ht="15.75" customHeight="1">
      <c r="A117" s="1" t="s">
        <v>2412</v>
      </c>
      <c r="B117" s="1" t="s">
        <v>4245</v>
      </c>
      <c r="C117" s="1">
        <v>9.0</v>
      </c>
      <c r="D117" s="1">
        <v>2.25</v>
      </c>
      <c r="E117" s="1">
        <v>0.740506329113924</v>
      </c>
    </row>
    <row r="118" ht="15.75" customHeight="1">
      <c r="A118" s="1" t="s">
        <v>1716</v>
      </c>
      <c r="B118" s="1" t="s">
        <v>4246</v>
      </c>
      <c r="C118" s="1">
        <v>9.0</v>
      </c>
      <c r="D118" s="1">
        <v>1.8</v>
      </c>
      <c r="E118" s="1">
        <v>0.423529411764706</v>
      </c>
    </row>
    <row r="119" ht="15.75" customHeight="1">
      <c r="A119" s="1" t="s">
        <v>3147</v>
      </c>
      <c r="B119" s="1" t="s">
        <v>4247</v>
      </c>
      <c r="C119" s="1">
        <v>9.0</v>
      </c>
      <c r="D119" s="1">
        <v>3.0</v>
      </c>
      <c r="E119" s="1">
        <v>1.59718309859155</v>
      </c>
    </row>
    <row r="120" ht="15.75" customHeight="1">
      <c r="A120" s="1" t="s">
        <v>2416</v>
      </c>
      <c r="B120" s="1" t="s">
        <v>4248</v>
      </c>
      <c r="C120" s="1">
        <v>9.0</v>
      </c>
      <c r="D120" s="1">
        <v>1.5</v>
      </c>
      <c r="E120" s="1">
        <v>1.00990099009901</v>
      </c>
    </row>
    <row r="121" ht="15.75" customHeight="1">
      <c r="A121" s="1" t="s">
        <v>1720</v>
      </c>
      <c r="B121" s="1" t="s">
        <v>4249</v>
      </c>
      <c r="C121" s="1">
        <v>9.0</v>
      </c>
      <c r="D121" s="1">
        <v>1.8</v>
      </c>
      <c r="E121" s="1">
        <v>0.423529411764706</v>
      </c>
    </row>
    <row r="122" ht="15.75" customHeight="1">
      <c r="A122" s="1" t="s">
        <v>2420</v>
      </c>
      <c r="B122" s="1" t="s">
        <v>4250</v>
      </c>
      <c r="C122" s="1">
        <v>9.0</v>
      </c>
      <c r="D122" s="1">
        <v>1.28571428571429</v>
      </c>
      <c r="E122" s="1">
        <v>0.704081632653061</v>
      </c>
    </row>
    <row r="123" ht="15.75" customHeight="1">
      <c r="A123" s="1" t="s">
        <v>3151</v>
      </c>
      <c r="B123" s="1" t="s">
        <v>4251</v>
      </c>
      <c r="C123" s="1">
        <v>9.0</v>
      </c>
      <c r="D123" s="1">
        <v>1.0</v>
      </c>
      <c r="E123" s="1">
        <v>1.01123595505618</v>
      </c>
    </row>
    <row r="124" ht="15.75" customHeight="1">
      <c r="A124" s="1" t="s">
        <v>3155</v>
      </c>
      <c r="B124" s="1" t="s">
        <v>4252</v>
      </c>
      <c r="C124" s="1">
        <v>8.0</v>
      </c>
      <c r="D124" s="1">
        <v>0.8</v>
      </c>
      <c r="E124" s="1">
        <v>0.365482233502538</v>
      </c>
    </row>
    <row r="125" ht="15.75" customHeight="1">
      <c r="A125" s="1" t="s">
        <v>2839</v>
      </c>
      <c r="B125" s="1" t="s">
        <v>4253</v>
      </c>
      <c r="C125" s="1">
        <v>8.0</v>
      </c>
      <c r="D125" s="1">
        <v>4.0</v>
      </c>
      <c r="E125" s="1">
        <v>2.57740585774059</v>
      </c>
    </row>
    <row r="126" ht="15.75" customHeight="1">
      <c r="A126" s="1" t="s">
        <v>2026</v>
      </c>
      <c r="B126" s="1" t="s">
        <v>4254</v>
      </c>
      <c r="C126" s="1">
        <v>8.0</v>
      </c>
      <c r="D126" s="1">
        <v>1.6</v>
      </c>
      <c r="E126" s="1">
        <v>0.376470588235294</v>
      </c>
    </row>
    <row r="127" ht="15.75" customHeight="1">
      <c r="A127" s="1" t="s">
        <v>1724</v>
      </c>
      <c r="B127" s="1" t="s">
        <v>4255</v>
      </c>
      <c r="C127" s="1">
        <v>8.0</v>
      </c>
      <c r="D127" s="1">
        <v>1.14285714285714</v>
      </c>
      <c r="E127" s="1">
        <v>0.625850340136054</v>
      </c>
    </row>
    <row r="128" ht="15.75" customHeight="1">
      <c r="A128" s="1" t="s">
        <v>2030</v>
      </c>
      <c r="B128" s="1" t="s">
        <v>4256</v>
      </c>
      <c r="C128" s="1">
        <v>8.0</v>
      </c>
      <c r="D128" s="1">
        <v>0.615384615384615</v>
      </c>
      <c r="E128" s="1">
        <v>4.95238095238095</v>
      </c>
    </row>
    <row r="129" ht="15.75" customHeight="1">
      <c r="A129" s="1" t="s">
        <v>3158</v>
      </c>
      <c r="B129" s="1" t="s">
        <v>4257</v>
      </c>
      <c r="C129" s="1">
        <v>8.0</v>
      </c>
      <c r="D129" s="1">
        <v>0.421052631578947</v>
      </c>
      <c r="E129" s="1">
        <v>1.2</v>
      </c>
    </row>
    <row r="130" ht="15.75" customHeight="1">
      <c r="A130" s="1" t="s">
        <v>2034</v>
      </c>
      <c r="B130" s="1" t="s">
        <v>4258</v>
      </c>
      <c r="C130" s="1">
        <v>7.0</v>
      </c>
      <c r="D130" s="1">
        <v>0.777777777777778</v>
      </c>
      <c r="E130" s="1">
        <v>0.786516853932584</v>
      </c>
    </row>
    <row r="131" ht="15.75" customHeight="1">
      <c r="A131" s="1" t="s">
        <v>2424</v>
      </c>
      <c r="B131" s="1" t="s">
        <v>4259</v>
      </c>
      <c r="C131" s="1">
        <v>7.0</v>
      </c>
      <c r="D131" s="1">
        <v>3.5</v>
      </c>
      <c r="E131" s="1">
        <v>2.25523012552301</v>
      </c>
    </row>
    <row r="132" ht="15.75" customHeight="1">
      <c r="A132" s="1" t="s">
        <v>2428</v>
      </c>
      <c r="B132" s="1" t="s">
        <v>4260</v>
      </c>
      <c r="C132" s="1">
        <v>7.0</v>
      </c>
      <c r="D132" s="1">
        <v>2.33333333333333</v>
      </c>
      <c r="E132" s="1">
        <v>1.24225352112676</v>
      </c>
    </row>
    <row r="133" ht="15.75" customHeight="1">
      <c r="A133" s="1" t="s">
        <v>2432</v>
      </c>
      <c r="B133" s="1" t="s">
        <v>4261</v>
      </c>
      <c r="C133" s="1">
        <v>7.0</v>
      </c>
      <c r="D133" s="1">
        <v>1.16666666666667</v>
      </c>
      <c r="E133" s="1">
        <v>0.785478547854785</v>
      </c>
    </row>
    <row r="134" ht="15.75" customHeight="1">
      <c r="A134" s="1" t="s">
        <v>1728</v>
      </c>
      <c r="B134" s="1" t="s">
        <v>4262</v>
      </c>
      <c r="C134" s="1">
        <v>7.0</v>
      </c>
      <c r="D134" s="1">
        <v>2.33333333333333</v>
      </c>
      <c r="E134" s="1">
        <v>1.24225352112676</v>
      </c>
    </row>
    <row r="135" ht="15.75" customHeight="1">
      <c r="A135" s="1" t="s">
        <v>2436</v>
      </c>
      <c r="B135" s="1" t="s">
        <v>4263</v>
      </c>
      <c r="C135" s="1">
        <v>7.0</v>
      </c>
      <c r="D135" s="1">
        <v>3.5</v>
      </c>
      <c r="E135" s="1">
        <v>2.25523012552301</v>
      </c>
    </row>
    <row r="136" ht="15.75" customHeight="1">
      <c r="A136" s="1" t="s">
        <v>2440</v>
      </c>
      <c r="B136" s="1" t="s">
        <v>4264</v>
      </c>
      <c r="C136" s="1">
        <v>7.0</v>
      </c>
      <c r="D136" s="1">
        <v>2.33333333333333</v>
      </c>
      <c r="E136" s="1">
        <v>1.24225352112676</v>
      </c>
    </row>
    <row r="137" ht="15.75" customHeight="1">
      <c r="A137" s="1" t="s">
        <v>3162</v>
      </c>
      <c r="B137" s="1" t="s">
        <v>4265</v>
      </c>
      <c r="C137" s="1">
        <v>7.0</v>
      </c>
      <c r="D137" s="1">
        <v>1.4</v>
      </c>
      <c r="E137" s="1">
        <v>0.329411764705882</v>
      </c>
    </row>
    <row r="138" ht="15.75" customHeight="1">
      <c r="A138" s="1" t="s">
        <v>2444</v>
      </c>
      <c r="B138" s="1" t="s">
        <v>4266</v>
      </c>
      <c r="C138" s="1">
        <v>7.0</v>
      </c>
      <c r="D138" s="1">
        <v>2.33333333333333</v>
      </c>
      <c r="E138" s="1">
        <v>1.24225352112676</v>
      </c>
    </row>
    <row r="139" ht="15.75" customHeight="1">
      <c r="A139" s="1" t="s">
        <v>3166</v>
      </c>
      <c r="B139" s="1" t="s">
        <v>4267</v>
      </c>
      <c r="C139" s="1">
        <v>7.0</v>
      </c>
      <c r="D139" s="1">
        <v>1.16666666666667</v>
      </c>
      <c r="E139" s="1">
        <v>0.785478547854785</v>
      </c>
    </row>
    <row r="140" ht="15.75" customHeight="1">
      <c r="A140" s="1" t="s">
        <v>2448</v>
      </c>
      <c r="B140" s="1" t="s">
        <v>4268</v>
      </c>
      <c r="C140" s="1">
        <v>7.0</v>
      </c>
      <c r="D140" s="1">
        <v>0.875</v>
      </c>
      <c r="E140" s="1">
        <v>0.549738219895288</v>
      </c>
    </row>
    <row r="141" ht="15.75" customHeight="1">
      <c r="A141" s="1" t="s">
        <v>2452</v>
      </c>
      <c r="B141" s="1" t="s">
        <v>4269</v>
      </c>
      <c r="C141" s="1">
        <v>7.0</v>
      </c>
      <c r="D141" s="1">
        <v>0.5</v>
      </c>
      <c r="E141" s="1">
        <v>0.364583333333333</v>
      </c>
    </row>
    <row r="142" ht="15.75" customHeight="1">
      <c r="A142" s="1" t="s">
        <v>3170</v>
      </c>
      <c r="B142" s="1" t="s">
        <v>4270</v>
      </c>
      <c r="C142" s="1">
        <v>7.0</v>
      </c>
      <c r="D142" s="1">
        <v>0.466666666666667</v>
      </c>
      <c r="E142" s="1">
        <v>1.23529411764706</v>
      </c>
    </row>
    <row r="143" ht="15.75" customHeight="1">
      <c r="A143" s="1" t="s">
        <v>2456</v>
      </c>
      <c r="B143" s="1" t="s">
        <v>4271</v>
      </c>
      <c r="C143" s="1">
        <v>7.0</v>
      </c>
      <c r="D143" s="1">
        <v>0.4375</v>
      </c>
      <c r="E143" s="1">
        <v>0.91304347826087</v>
      </c>
    </row>
    <row r="144" ht="15.75" customHeight="1">
      <c r="A144" s="1" t="s">
        <v>2843</v>
      </c>
      <c r="B144" s="1" t="s">
        <v>4272</v>
      </c>
      <c r="C144" s="1">
        <v>7.0</v>
      </c>
      <c r="D144" s="1">
        <v>2.33333333333333</v>
      </c>
      <c r="E144" s="1">
        <v>1.24225352112676</v>
      </c>
    </row>
    <row r="145" ht="15.75" customHeight="1">
      <c r="A145" s="1" t="s">
        <v>2847</v>
      </c>
      <c r="B145" s="1" t="s">
        <v>4273</v>
      </c>
      <c r="C145" s="1">
        <v>6.0</v>
      </c>
      <c r="D145" s="1">
        <v>1.0</v>
      </c>
      <c r="E145" s="1">
        <v>0.673267326732673</v>
      </c>
    </row>
    <row r="146" ht="15.75" customHeight="1">
      <c r="A146" s="1" t="s">
        <v>2038</v>
      </c>
      <c r="B146" s="1" t="s">
        <v>4274</v>
      </c>
      <c r="C146" s="1">
        <v>6.0</v>
      </c>
      <c r="D146" s="1">
        <v>1.5</v>
      </c>
      <c r="E146" s="1">
        <v>0.493670886075949</v>
      </c>
    </row>
    <row r="147" ht="15.75" customHeight="1">
      <c r="A147" s="1" t="s">
        <v>1732</v>
      </c>
      <c r="B147" s="1" t="s">
        <v>4275</v>
      </c>
      <c r="C147" s="1">
        <v>6.0</v>
      </c>
      <c r="D147" s="1">
        <v>0.545454545454545</v>
      </c>
      <c r="E147" s="1">
        <v>0.118811881188119</v>
      </c>
    </row>
    <row r="148" ht="15.75" customHeight="1">
      <c r="A148" s="1" t="s">
        <v>2850</v>
      </c>
      <c r="B148" s="1" t="s">
        <v>4276</v>
      </c>
      <c r="C148" s="1">
        <v>6.0</v>
      </c>
      <c r="D148" s="1">
        <v>0.857142857142857</v>
      </c>
      <c r="E148" s="1">
        <v>0.469387755102041</v>
      </c>
    </row>
    <row r="149" ht="15.75" customHeight="1">
      <c r="A149" s="1" t="s">
        <v>2460</v>
      </c>
      <c r="B149" s="1" t="s">
        <v>4277</v>
      </c>
      <c r="C149" s="1">
        <v>6.0</v>
      </c>
      <c r="D149" s="1">
        <v>3.0</v>
      </c>
      <c r="E149" s="1">
        <v>1.93305439330544</v>
      </c>
    </row>
    <row r="150" ht="15.75" customHeight="1">
      <c r="A150" s="1" t="s">
        <v>2854</v>
      </c>
      <c r="B150" s="1" t="s">
        <v>4278</v>
      </c>
      <c r="C150" s="1">
        <v>6.0</v>
      </c>
      <c r="D150" s="1">
        <v>1.5</v>
      </c>
      <c r="E150" s="1">
        <v>0.493670886075949</v>
      </c>
    </row>
    <row r="151" ht="15.75" customHeight="1">
      <c r="A151" s="1" t="s">
        <v>2042</v>
      </c>
      <c r="B151" s="1" t="s">
        <v>4279</v>
      </c>
      <c r="C151" s="1">
        <v>6.0</v>
      </c>
      <c r="D151" s="1">
        <v>2.0</v>
      </c>
      <c r="E151" s="1">
        <v>1.06478873239437</v>
      </c>
    </row>
    <row r="152" ht="15.75" customHeight="1">
      <c r="A152" s="1" t="s">
        <v>3174</v>
      </c>
      <c r="B152" s="1" t="s">
        <v>4280</v>
      </c>
      <c r="C152" s="1">
        <v>6.0</v>
      </c>
      <c r="D152" s="1">
        <v>6.0</v>
      </c>
      <c r="E152" s="1">
        <v>6.51428571428571</v>
      </c>
    </row>
    <row r="153" ht="15.75" customHeight="1">
      <c r="A153" s="1" t="s">
        <v>2046</v>
      </c>
      <c r="B153" s="1" t="s">
        <v>4281</v>
      </c>
      <c r="C153" s="1">
        <v>6.0</v>
      </c>
      <c r="D153" s="1">
        <v>0.5</v>
      </c>
      <c r="E153" s="1">
        <v>1.875</v>
      </c>
    </row>
    <row r="154" ht="15.75" customHeight="1">
      <c r="A154" s="1" t="s">
        <v>2464</v>
      </c>
      <c r="B154" s="1" t="s">
        <v>4282</v>
      </c>
      <c r="C154" s="1">
        <v>6.0</v>
      </c>
      <c r="D154" s="1">
        <v>2.0</v>
      </c>
      <c r="E154" s="1">
        <v>1.06478873239437</v>
      </c>
    </row>
    <row r="155" ht="15.75" customHeight="1">
      <c r="A155" s="1" t="s">
        <v>3178</v>
      </c>
      <c r="B155" s="1" t="s">
        <v>4283</v>
      </c>
      <c r="C155" s="1">
        <v>6.0</v>
      </c>
      <c r="D155" s="1">
        <v>0.4</v>
      </c>
      <c r="E155" s="1">
        <v>1.05882352941176</v>
      </c>
    </row>
    <row r="156" ht="15.75" customHeight="1">
      <c r="A156" s="1" t="s">
        <v>2468</v>
      </c>
      <c r="B156" s="1" t="s">
        <v>4284</v>
      </c>
      <c r="C156" s="1">
        <v>6.0</v>
      </c>
      <c r="D156" s="1">
        <v>2.0</v>
      </c>
      <c r="E156" s="1">
        <v>1.06478873239437</v>
      </c>
    </row>
    <row r="157" ht="15.75" customHeight="1">
      <c r="A157" s="1" t="s">
        <v>2858</v>
      </c>
      <c r="B157" s="1" t="s">
        <v>4285</v>
      </c>
      <c r="C157" s="1">
        <v>6.0</v>
      </c>
      <c r="D157" s="1">
        <v>1.2</v>
      </c>
      <c r="E157" s="1">
        <v>0.282352941176471</v>
      </c>
    </row>
    <row r="158" ht="15.75" customHeight="1">
      <c r="A158" s="1" t="s">
        <v>2049</v>
      </c>
      <c r="B158" s="1" t="s">
        <v>4286</v>
      </c>
      <c r="C158" s="1">
        <v>6.0</v>
      </c>
      <c r="D158" s="1">
        <v>0.6</v>
      </c>
      <c r="E158" s="1">
        <v>0.274111675126904</v>
      </c>
    </row>
    <row r="159" ht="15.75" customHeight="1">
      <c r="A159" s="1" t="s">
        <v>2053</v>
      </c>
      <c r="B159" s="1" t="s">
        <v>4287</v>
      </c>
      <c r="C159" s="1">
        <v>6.0</v>
      </c>
      <c r="D159" s="1">
        <v>0.6</v>
      </c>
      <c r="E159" s="1">
        <v>0.274111675126904</v>
      </c>
    </row>
    <row r="160" ht="15.75" customHeight="1">
      <c r="A160" s="1" t="s">
        <v>3182</v>
      </c>
      <c r="B160" s="1" t="s">
        <v>4288</v>
      </c>
      <c r="C160" s="1">
        <v>6.0</v>
      </c>
      <c r="D160" s="1">
        <v>0.352941176470588</v>
      </c>
      <c r="E160" s="1">
        <v>0.461538461538462</v>
      </c>
    </row>
    <row r="161" ht="15.75" customHeight="1">
      <c r="A161" s="1" t="s">
        <v>3185</v>
      </c>
      <c r="B161" s="1" t="s">
        <v>4289</v>
      </c>
      <c r="C161" s="1">
        <v>6.0</v>
      </c>
      <c r="D161" s="1">
        <v>1.5</v>
      </c>
      <c r="E161" s="1">
        <v>0.493670886075949</v>
      </c>
    </row>
    <row r="162" ht="15.75" customHeight="1">
      <c r="A162" s="1" t="s">
        <v>1735</v>
      </c>
      <c r="B162" s="1" t="s">
        <v>4290</v>
      </c>
      <c r="C162" s="1">
        <v>5.0</v>
      </c>
      <c r="D162" s="1">
        <v>1.66666666666667</v>
      </c>
      <c r="E162" s="1">
        <v>0.887323943661972</v>
      </c>
    </row>
    <row r="163" ht="15.75" customHeight="1">
      <c r="A163" s="1" t="s">
        <v>2734</v>
      </c>
      <c r="B163" s="1" t="s">
        <v>4291</v>
      </c>
      <c r="C163" s="1">
        <v>5.0</v>
      </c>
      <c r="D163" s="1">
        <v>2.5</v>
      </c>
      <c r="E163" s="1">
        <v>1.61087866108787</v>
      </c>
    </row>
    <row r="164" ht="15.75" customHeight="1">
      <c r="A164" s="1" t="s">
        <v>2471</v>
      </c>
      <c r="B164" s="1" t="s">
        <v>4292</v>
      </c>
      <c r="C164" s="1">
        <v>5.0</v>
      </c>
      <c r="D164" s="1">
        <v>1.0</v>
      </c>
      <c r="E164" s="1">
        <v>0.235294117647059</v>
      </c>
    </row>
    <row r="165" ht="15.75" customHeight="1">
      <c r="A165" s="1" t="s">
        <v>2861</v>
      </c>
      <c r="B165" s="1" t="s">
        <v>4293</v>
      </c>
      <c r="C165" s="1">
        <v>5.0</v>
      </c>
      <c r="D165" s="1">
        <v>1.25</v>
      </c>
      <c r="E165" s="1">
        <v>0.411392405063291</v>
      </c>
    </row>
    <row r="166" ht="15.75" customHeight="1">
      <c r="A166" s="1" t="s">
        <v>2057</v>
      </c>
      <c r="B166" s="1" t="s">
        <v>4294</v>
      </c>
      <c r="C166" s="1">
        <v>5.0</v>
      </c>
      <c r="D166" s="1">
        <v>2.5</v>
      </c>
      <c r="E166" s="1">
        <v>1.61087866108787</v>
      </c>
    </row>
    <row r="167" ht="15.75" customHeight="1">
      <c r="A167" s="1" t="s">
        <v>1739</v>
      </c>
      <c r="B167" s="1" t="s">
        <v>4295</v>
      </c>
      <c r="C167" s="1">
        <v>5.0</v>
      </c>
      <c r="D167" s="1">
        <v>0.384615384615385</v>
      </c>
      <c r="E167" s="1">
        <v>3.0952380952381</v>
      </c>
    </row>
    <row r="168" ht="15.75" customHeight="1">
      <c r="A168" s="1" t="s">
        <v>2475</v>
      </c>
      <c r="B168" s="1" t="s">
        <v>4296</v>
      </c>
      <c r="C168" s="1">
        <v>5.0</v>
      </c>
      <c r="D168" s="1">
        <v>1.66666666666667</v>
      </c>
      <c r="E168" s="1">
        <v>0.887323943661972</v>
      </c>
    </row>
    <row r="169" ht="15.75" customHeight="1">
      <c r="A169" s="1" t="s">
        <v>1743</v>
      </c>
      <c r="B169" s="1" t="s">
        <v>4297</v>
      </c>
      <c r="C169" s="1">
        <v>5.0</v>
      </c>
      <c r="D169" s="1">
        <v>1.25</v>
      </c>
      <c r="E169" s="1">
        <v>0.411392405063291</v>
      </c>
    </row>
    <row r="170" ht="15.75" customHeight="1">
      <c r="A170" s="1" t="s">
        <v>2061</v>
      </c>
      <c r="B170" s="1" t="s">
        <v>4298</v>
      </c>
      <c r="C170" s="1">
        <v>5.0</v>
      </c>
      <c r="D170" s="1">
        <v>2.5</v>
      </c>
      <c r="E170" s="1">
        <v>1.61087866108787</v>
      </c>
    </row>
    <row r="171" ht="15.75" customHeight="1">
      <c r="A171" s="1" t="s">
        <v>2865</v>
      </c>
      <c r="B171" s="1" t="s">
        <v>4299</v>
      </c>
      <c r="C171" s="1">
        <v>5.0</v>
      </c>
      <c r="D171" s="1">
        <v>2.5</v>
      </c>
      <c r="E171" s="1">
        <v>1.61087866108787</v>
      </c>
    </row>
    <row r="172" ht="15.75" customHeight="1">
      <c r="A172" s="1" t="s">
        <v>2479</v>
      </c>
      <c r="B172" s="1" t="s">
        <v>4300</v>
      </c>
      <c r="C172" s="1">
        <v>5.0</v>
      </c>
      <c r="D172" s="1">
        <v>1.66666666666667</v>
      </c>
      <c r="E172" s="1">
        <v>0.887323943661972</v>
      </c>
    </row>
    <row r="173" ht="15.75" customHeight="1">
      <c r="A173" s="1" t="s">
        <v>2869</v>
      </c>
      <c r="B173" s="1" t="s">
        <v>4301</v>
      </c>
      <c r="C173" s="1">
        <v>5.0</v>
      </c>
      <c r="D173" s="1">
        <v>5.0</v>
      </c>
      <c r="E173" s="1">
        <v>5.42857142857143</v>
      </c>
    </row>
    <row r="174" ht="15.75" customHeight="1">
      <c r="A174" s="1" t="s">
        <v>2483</v>
      </c>
      <c r="B174" s="1" t="s">
        <v>4302</v>
      </c>
      <c r="C174" s="1">
        <v>5.0</v>
      </c>
      <c r="D174" s="1">
        <v>1.25</v>
      </c>
      <c r="E174" s="1">
        <v>0.411392405063291</v>
      </c>
    </row>
    <row r="175" ht="15.75" customHeight="1">
      <c r="A175" s="1" t="s">
        <v>2873</v>
      </c>
      <c r="B175" s="1" t="s">
        <v>4303</v>
      </c>
      <c r="C175" s="1">
        <v>5.0</v>
      </c>
      <c r="D175" s="1">
        <v>5.0</v>
      </c>
      <c r="E175" s="1">
        <v>5.42857142857143</v>
      </c>
    </row>
    <row r="176" ht="15.75" customHeight="1">
      <c r="A176" s="1" t="s">
        <v>2487</v>
      </c>
      <c r="B176" s="1" t="s">
        <v>4304</v>
      </c>
      <c r="C176" s="1">
        <v>5.0</v>
      </c>
      <c r="D176" s="1">
        <v>5.0</v>
      </c>
      <c r="E176" s="1">
        <v>5.42857142857143</v>
      </c>
    </row>
    <row r="177" ht="15.75" customHeight="1">
      <c r="A177" s="1" t="s">
        <v>2877</v>
      </c>
      <c r="B177" s="1" t="s">
        <v>4305</v>
      </c>
      <c r="C177" s="1">
        <v>5.0</v>
      </c>
      <c r="D177" s="1">
        <v>2.5</v>
      </c>
      <c r="E177" s="1">
        <v>1.61087866108787</v>
      </c>
    </row>
    <row r="178" ht="15.75" customHeight="1">
      <c r="A178" s="1" t="s">
        <v>2065</v>
      </c>
      <c r="B178" s="1" t="s">
        <v>4306</v>
      </c>
      <c r="C178" s="1">
        <v>5.0</v>
      </c>
      <c r="D178" s="1">
        <v>0.416666666666667</v>
      </c>
      <c r="E178" s="1">
        <v>1.5625</v>
      </c>
    </row>
    <row r="179" ht="15.75" customHeight="1">
      <c r="A179" s="1" t="s">
        <v>2491</v>
      </c>
      <c r="B179" s="1" t="s">
        <v>4307</v>
      </c>
      <c r="C179" s="1">
        <v>5.0</v>
      </c>
      <c r="D179" s="1">
        <v>2.5</v>
      </c>
      <c r="E179" s="1">
        <v>1.61087866108787</v>
      </c>
    </row>
    <row r="180" ht="15.75" customHeight="1">
      <c r="A180" s="1" t="s">
        <v>3189</v>
      </c>
      <c r="B180" s="1" t="s">
        <v>4308</v>
      </c>
      <c r="C180" s="1">
        <v>5.0</v>
      </c>
      <c r="D180" s="1">
        <v>1.25</v>
      </c>
      <c r="E180" s="1">
        <v>0.411392405063291</v>
      </c>
    </row>
    <row r="181" ht="15.75" customHeight="1">
      <c r="A181" s="1" t="s">
        <v>3193</v>
      </c>
      <c r="B181" s="1" t="s">
        <v>4309</v>
      </c>
      <c r="C181" s="1">
        <v>5.0</v>
      </c>
      <c r="D181" s="1">
        <v>0.833333333333333</v>
      </c>
      <c r="E181" s="1">
        <v>0.561056105610561</v>
      </c>
    </row>
    <row r="182" ht="15.75" customHeight="1">
      <c r="A182" s="1" t="s">
        <v>2495</v>
      </c>
      <c r="B182" s="1" t="s">
        <v>4310</v>
      </c>
      <c r="C182" s="1">
        <v>5.0</v>
      </c>
      <c r="D182" s="1">
        <v>2.5</v>
      </c>
      <c r="E182" s="1">
        <v>1.61087866108787</v>
      </c>
    </row>
    <row r="183" ht="15.75" customHeight="1">
      <c r="A183" s="1" t="s">
        <v>1747</v>
      </c>
      <c r="B183" s="1" t="s">
        <v>4311</v>
      </c>
      <c r="C183" s="1">
        <v>5.0</v>
      </c>
      <c r="D183" s="1">
        <v>2.5</v>
      </c>
      <c r="E183" s="1">
        <v>1.61087866108787</v>
      </c>
    </row>
    <row r="184" ht="15.75" customHeight="1">
      <c r="A184" s="1" t="s">
        <v>1751</v>
      </c>
      <c r="B184" s="1" t="s">
        <v>4312</v>
      </c>
      <c r="C184" s="1">
        <v>5.0</v>
      </c>
      <c r="D184" s="1">
        <v>1.0</v>
      </c>
      <c r="E184" s="1">
        <v>0.235294117647059</v>
      </c>
    </row>
    <row r="185" ht="15.75" customHeight="1">
      <c r="A185" s="1" t="s">
        <v>2881</v>
      </c>
      <c r="B185" s="1" t="s">
        <v>4313</v>
      </c>
      <c r="C185" s="1">
        <v>5.0</v>
      </c>
      <c r="D185" s="1">
        <v>1.0</v>
      </c>
      <c r="E185" s="1">
        <v>0.235294117647059</v>
      </c>
    </row>
    <row r="186" ht="15.75" customHeight="1">
      <c r="A186" s="1" t="s">
        <v>3196</v>
      </c>
      <c r="B186" s="1" t="s">
        <v>4314</v>
      </c>
      <c r="C186" s="1">
        <v>5.0</v>
      </c>
      <c r="D186" s="1">
        <v>1.0</v>
      </c>
      <c r="E186" s="1">
        <v>0.235294117647059</v>
      </c>
    </row>
    <row r="187" ht="15.75" customHeight="1">
      <c r="A187" s="1" t="s">
        <v>3200</v>
      </c>
      <c r="B187" s="1" t="s">
        <v>4315</v>
      </c>
      <c r="C187" s="1">
        <v>5.0</v>
      </c>
      <c r="D187" s="1">
        <v>0.833333333333333</v>
      </c>
      <c r="E187" s="1">
        <v>0.561056105610561</v>
      </c>
    </row>
    <row r="188" ht="15.75" customHeight="1">
      <c r="A188" s="1" t="s">
        <v>2499</v>
      </c>
      <c r="B188" s="1" t="s">
        <v>4316</v>
      </c>
      <c r="C188" s="1">
        <v>5.0</v>
      </c>
      <c r="D188" s="1">
        <v>0.714285714285714</v>
      </c>
      <c r="E188" s="1">
        <v>0.391156462585034</v>
      </c>
    </row>
    <row r="189" ht="15.75" customHeight="1">
      <c r="A189" s="1" t="s">
        <v>3204</v>
      </c>
      <c r="B189" s="1" t="s">
        <v>4317</v>
      </c>
      <c r="C189" s="1">
        <v>5.0</v>
      </c>
      <c r="D189" s="1">
        <v>0.3125</v>
      </c>
      <c r="E189" s="1">
        <v>0.652173913043478</v>
      </c>
    </row>
    <row r="190" ht="15.75" customHeight="1">
      <c r="A190" s="1" t="s">
        <v>2260</v>
      </c>
      <c r="B190" s="1" t="s">
        <v>4318</v>
      </c>
      <c r="C190" s="1">
        <v>4.0</v>
      </c>
      <c r="D190" s="1">
        <v>0.307692307692308</v>
      </c>
      <c r="E190" s="1">
        <v>2.47619047619048</v>
      </c>
    </row>
    <row r="191" ht="15.75" customHeight="1">
      <c r="A191" s="1" t="s">
        <v>3208</v>
      </c>
      <c r="B191" s="1" t="s">
        <v>4319</v>
      </c>
      <c r="C191" s="1">
        <v>4.0</v>
      </c>
      <c r="D191" s="1">
        <v>1.0</v>
      </c>
      <c r="E191" s="1">
        <v>0.329113924050633</v>
      </c>
    </row>
    <row r="192" ht="15.75" customHeight="1">
      <c r="A192" s="1" t="s">
        <v>2885</v>
      </c>
      <c r="B192" s="1" t="s">
        <v>4320</v>
      </c>
      <c r="C192" s="1">
        <v>4.0</v>
      </c>
      <c r="D192" s="1">
        <v>1.33333333333333</v>
      </c>
      <c r="E192" s="1">
        <v>0.709859154929577</v>
      </c>
    </row>
    <row r="193" ht="15.75" customHeight="1">
      <c r="A193" s="1" t="s">
        <v>2889</v>
      </c>
      <c r="B193" s="1" t="s">
        <v>4321</v>
      </c>
      <c r="C193" s="1">
        <v>4.0</v>
      </c>
      <c r="D193" s="1">
        <v>0.666666666666667</v>
      </c>
      <c r="E193" s="1">
        <v>0.448844884488449</v>
      </c>
    </row>
    <row r="194" ht="15.75" customHeight="1">
      <c r="A194" s="1" t="s">
        <v>2503</v>
      </c>
      <c r="B194" s="1" t="s">
        <v>4322</v>
      </c>
      <c r="C194" s="1">
        <v>4.0</v>
      </c>
      <c r="D194" s="1">
        <v>4.0</v>
      </c>
      <c r="E194" s="1">
        <v>4.34285714285714</v>
      </c>
    </row>
    <row r="195" ht="15.75" customHeight="1">
      <c r="A195" s="1" t="s">
        <v>2069</v>
      </c>
      <c r="B195" s="1" t="s">
        <v>4323</v>
      </c>
      <c r="C195" s="1">
        <v>4.0</v>
      </c>
      <c r="D195" s="1">
        <v>1.0</v>
      </c>
      <c r="E195" s="1">
        <v>0.329113924050633</v>
      </c>
    </row>
    <row r="196" ht="15.75" customHeight="1">
      <c r="A196" s="1" t="s">
        <v>2073</v>
      </c>
      <c r="B196" s="1" t="s">
        <v>4324</v>
      </c>
      <c r="C196" s="1">
        <v>4.0</v>
      </c>
      <c r="D196" s="1">
        <v>4.0</v>
      </c>
      <c r="E196" s="1">
        <v>4.34285714285714</v>
      </c>
    </row>
    <row r="197" ht="15.75" customHeight="1">
      <c r="A197" s="1" t="s">
        <v>3211</v>
      </c>
      <c r="B197" s="1" t="s">
        <v>4325</v>
      </c>
      <c r="C197" s="1">
        <v>4.0</v>
      </c>
      <c r="D197" s="1">
        <v>1.33333333333333</v>
      </c>
      <c r="E197" s="1">
        <v>0.709859154929577</v>
      </c>
    </row>
    <row r="198" ht="15.75" customHeight="1">
      <c r="A198" s="1" t="s">
        <v>2893</v>
      </c>
      <c r="B198" s="1" t="s">
        <v>4326</v>
      </c>
      <c r="C198" s="1">
        <v>4.0</v>
      </c>
      <c r="D198" s="1">
        <v>1.33333333333333</v>
      </c>
      <c r="E198" s="1">
        <v>0.709859154929577</v>
      </c>
    </row>
    <row r="199" ht="15.75" customHeight="1">
      <c r="A199" s="1" t="s">
        <v>2507</v>
      </c>
      <c r="B199" s="1" t="s">
        <v>4327</v>
      </c>
      <c r="C199" s="1">
        <v>4.0</v>
      </c>
      <c r="D199" s="1">
        <v>2.0</v>
      </c>
      <c r="E199" s="1">
        <v>1.28870292887029</v>
      </c>
    </row>
    <row r="200" ht="15.75" customHeight="1">
      <c r="A200" s="1" t="s">
        <v>2511</v>
      </c>
      <c r="B200" s="1" t="s">
        <v>4328</v>
      </c>
      <c r="C200" s="1">
        <v>4.0</v>
      </c>
      <c r="D200" s="1">
        <v>2.0</v>
      </c>
      <c r="E200" s="1">
        <v>1.28870292887029</v>
      </c>
    </row>
    <row r="201" ht="15.75" customHeight="1">
      <c r="A201" s="1" t="s">
        <v>1755</v>
      </c>
      <c r="B201" s="1" t="s">
        <v>4329</v>
      </c>
      <c r="C201" s="1">
        <v>4.0</v>
      </c>
      <c r="D201" s="1">
        <v>2.0</v>
      </c>
      <c r="E201" s="1">
        <v>1.28870292887029</v>
      </c>
    </row>
    <row r="202" ht="15.75" customHeight="1">
      <c r="A202" s="1" t="s">
        <v>2077</v>
      </c>
      <c r="B202" s="1" t="s">
        <v>4330</v>
      </c>
      <c r="C202" s="1">
        <v>4.0</v>
      </c>
      <c r="D202" s="1">
        <v>1.0</v>
      </c>
      <c r="E202" s="1">
        <v>0.329113924050633</v>
      </c>
    </row>
    <row r="203" ht="15.75" customHeight="1">
      <c r="A203" s="1" t="s">
        <v>1759</v>
      </c>
      <c r="B203" s="1" t="s">
        <v>4331</v>
      </c>
      <c r="C203" s="1">
        <v>4.0</v>
      </c>
      <c r="D203" s="1">
        <v>1.0</v>
      </c>
      <c r="E203" s="1">
        <v>0.329113924050633</v>
      </c>
    </row>
    <row r="204" ht="15.75" customHeight="1">
      <c r="A204" s="1" t="s">
        <v>2897</v>
      </c>
      <c r="B204" s="1" t="s">
        <v>4332</v>
      </c>
      <c r="C204" s="1">
        <v>4.0</v>
      </c>
      <c r="D204" s="1">
        <v>1.0</v>
      </c>
      <c r="E204" s="1">
        <v>0.329113924050633</v>
      </c>
    </row>
    <row r="205" ht="15.75" customHeight="1">
      <c r="A205" s="1" t="s">
        <v>1763</v>
      </c>
      <c r="B205" s="1" t="s">
        <v>4333</v>
      </c>
      <c r="C205" s="1">
        <v>4.0</v>
      </c>
      <c r="D205" s="1">
        <v>1.0</v>
      </c>
      <c r="E205" s="1">
        <v>0.329113924050633</v>
      </c>
    </row>
    <row r="206" ht="15.75" customHeight="1">
      <c r="A206" s="1" t="s">
        <v>3215</v>
      </c>
      <c r="B206" s="1" t="s">
        <v>4334</v>
      </c>
      <c r="C206" s="1">
        <v>4.0</v>
      </c>
      <c r="D206" s="1">
        <v>0.8</v>
      </c>
      <c r="E206" s="1">
        <v>0.188235294117647</v>
      </c>
    </row>
    <row r="207" ht="15.75" customHeight="1">
      <c r="A207" s="1" t="s">
        <v>2081</v>
      </c>
      <c r="B207" s="1" t="s">
        <v>4335</v>
      </c>
      <c r="C207" s="1">
        <v>4.0</v>
      </c>
      <c r="D207" s="1">
        <v>0.8</v>
      </c>
      <c r="E207" s="1">
        <v>0.188235294117647</v>
      </c>
    </row>
    <row r="208" ht="15.75" customHeight="1">
      <c r="A208" s="1" t="s">
        <v>3219</v>
      </c>
      <c r="B208" s="1" t="s">
        <v>4336</v>
      </c>
      <c r="C208" s="1">
        <v>4.0</v>
      </c>
      <c r="D208" s="1">
        <v>0.666666666666667</v>
      </c>
      <c r="E208" s="1">
        <v>0.448844884488449</v>
      </c>
    </row>
    <row r="209" ht="15.75" customHeight="1">
      <c r="A209" s="1" t="s">
        <v>2900</v>
      </c>
      <c r="B209" s="1" t="s">
        <v>4337</v>
      </c>
      <c r="C209" s="1">
        <v>4.0</v>
      </c>
      <c r="D209" s="1">
        <v>0.666666666666667</v>
      </c>
      <c r="E209" s="1">
        <v>0.448844884488449</v>
      </c>
    </row>
    <row r="210" ht="15.75" customHeight="1">
      <c r="A210" s="1" t="s">
        <v>2085</v>
      </c>
      <c r="B210" s="1" t="s">
        <v>4338</v>
      </c>
      <c r="C210" s="1">
        <v>4.0</v>
      </c>
      <c r="D210" s="1">
        <v>0.666666666666667</v>
      </c>
      <c r="E210" s="1">
        <v>0.448844884488449</v>
      </c>
    </row>
    <row r="211" ht="15.75" customHeight="1">
      <c r="A211" s="1" t="s">
        <v>2088</v>
      </c>
      <c r="B211" s="1" t="s">
        <v>4339</v>
      </c>
      <c r="C211" s="1">
        <v>4.0</v>
      </c>
      <c r="D211" s="1">
        <v>0.571428571428571</v>
      </c>
      <c r="E211" s="1">
        <v>0.312925170068027</v>
      </c>
    </row>
    <row r="212" ht="15.75" customHeight="1">
      <c r="A212" s="1" t="s">
        <v>2264</v>
      </c>
      <c r="B212" s="1" t="s">
        <v>4340</v>
      </c>
      <c r="C212" s="1">
        <v>4.0</v>
      </c>
      <c r="D212" s="1">
        <v>0.5</v>
      </c>
      <c r="E212" s="1">
        <v>0.31413612565445</v>
      </c>
    </row>
    <row r="213" ht="15.75" customHeight="1">
      <c r="A213" s="1" t="s">
        <v>2091</v>
      </c>
      <c r="B213" s="1" t="s">
        <v>4341</v>
      </c>
      <c r="C213" s="1">
        <v>4.0</v>
      </c>
      <c r="D213" s="1">
        <v>0.444444444444444</v>
      </c>
      <c r="E213" s="1">
        <v>0.449438202247191</v>
      </c>
    </row>
    <row r="214" ht="15.75" customHeight="1">
      <c r="A214" s="1" t="s">
        <v>2095</v>
      </c>
      <c r="B214" s="1" t="s">
        <v>4342</v>
      </c>
      <c r="C214" s="1">
        <v>4.0</v>
      </c>
      <c r="D214" s="1">
        <v>0.444444444444444</v>
      </c>
      <c r="E214" s="1">
        <v>0.449438202247191</v>
      </c>
    </row>
    <row r="215" ht="15.75" customHeight="1">
      <c r="A215" s="1" t="s">
        <v>2099</v>
      </c>
      <c r="B215" s="1" t="s">
        <v>4343</v>
      </c>
      <c r="C215" s="1">
        <v>4.0</v>
      </c>
      <c r="D215" s="1">
        <v>0.444444444444444</v>
      </c>
      <c r="E215" s="1">
        <v>0.449438202247191</v>
      </c>
    </row>
    <row r="216" ht="15.75" customHeight="1">
      <c r="A216" s="1" t="s">
        <v>1767</v>
      </c>
      <c r="B216" s="1" t="s">
        <v>4344</v>
      </c>
      <c r="C216" s="1">
        <v>4.0</v>
      </c>
      <c r="D216" s="1">
        <v>0.444444444444444</v>
      </c>
      <c r="E216" s="1">
        <v>0.449438202247191</v>
      </c>
    </row>
    <row r="217" ht="15.75" customHeight="1">
      <c r="A217" s="1" t="s">
        <v>2102</v>
      </c>
      <c r="B217" s="1" t="s">
        <v>4345</v>
      </c>
      <c r="C217" s="1">
        <v>4.0</v>
      </c>
      <c r="D217" s="1">
        <v>0.4</v>
      </c>
      <c r="E217" s="1">
        <v>0.182741116751269</v>
      </c>
    </row>
    <row r="218" ht="15.75" customHeight="1">
      <c r="A218" s="1" t="s">
        <v>2105</v>
      </c>
      <c r="B218" s="1" t="s">
        <v>4346</v>
      </c>
      <c r="C218" s="1">
        <v>4.0</v>
      </c>
      <c r="D218" s="1">
        <v>0.266666666666667</v>
      </c>
      <c r="E218" s="1">
        <v>0.705882352941176</v>
      </c>
    </row>
    <row r="219" ht="15.75" customHeight="1">
      <c r="A219" s="1" t="s">
        <v>3222</v>
      </c>
      <c r="B219" s="1" t="s">
        <v>4347</v>
      </c>
      <c r="C219" s="1">
        <v>3.0</v>
      </c>
      <c r="D219" s="1">
        <v>0.5</v>
      </c>
      <c r="E219" s="1">
        <v>0.336633663366337</v>
      </c>
    </row>
    <row r="220" ht="15.75" customHeight="1">
      <c r="A220" s="1" t="s">
        <v>1771</v>
      </c>
      <c r="B220" s="1" t="s">
        <v>4348</v>
      </c>
      <c r="C220" s="1">
        <v>3.0</v>
      </c>
      <c r="D220" s="1">
        <v>3.0</v>
      </c>
      <c r="E220" s="1">
        <v>3.25714285714286</v>
      </c>
    </row>
    <row r="221" ht="15.75" customHeight="1">
      <c r="A221" s="1" t="s">
        <v>2515</v>
      </c>
      <c r="B221" s="1" t="s">
        <v>4349</v>
      </c>
      <c r="C221" s="1">
        <v>3.0</v>
      </c>
      <c r="D221" s="1">
        <v>1.0</v>
      </c>
      <c r="E221" s="1">
        <v>0.532394366197183</v>
      </c>
    </row>
    <row r="222" ht="15.75" customHeight="1">
      <c r="A222" s="1" t="s">
        <v>2904</v>
      </c>
      <c r="B222" s="1" t="s">
        <v>4350</v>
      </c>
      <c r="C222" s="1">
        <v>3.0</v>
      </c>
      <c r="D222" s="1">
        <v>0.5</v>
      </c>
      <c r="E222" s="1">
        <v>0.336633663366337</v>
      </c>
    </row>
    <row r="223" ht="15.75" customHeight="1">
      <c r="A223" s="1" t="s">
        <v>2109</v>
      </c>
      <c r="B223" s="1" t="s">
        <v>4351</v>
      </c>
      <c r="C223" s="1">
        <v>3.0</v>
      </c>
      <c r="D223" s="1">
        <v>0.6</v>
      </c>
      <c r="E223" s="1">
        <v>0.141176470588235</v>
      </c>
    </row>
    <row r="224" ht="15.75" customHeight="1">
      <c r="A224" s="1" t="s">
        <v>2519</v>
      </c>
      <c r="B224" s="1" t="s">
        <v>4352</v>
      </c>
      <c r="C224" s="1">
        <v>3.0</v>
      </c>
      <c r="D224" s="1">
        <v>1.0</v>
      </c>
      <c r="E224" s="1">
        <v>0.532394366197183</v>
      </c>
    </row>
    <row r="225" ht="15.75" customHeight="1">
      <c r="A225" s="1" t="s">
        <v>2523</v>
      </c>
      <c r="B225" s="1" t="s">
        <v>4353</v>
      </c>
      <c r="C225" s="1">
        <v>3.0</v>
      </c>
      <c r="D225" s="1">
        <v>0.75</v>
      </c>
      <c r="E225" s="1">
        <v>0.246835443037975</v>
      </c>
    </row>
    <row r="226" ht="15.75" customHeight="1">
      <c r="A226" s="1" t="s">
        <v>2527</v>
      </c>
      <c r="B226" s="1" t="s">
        <v>4354</v>
      </c>
      <c r="C226" s="1">
        <v>3.0</v>
      </c>
      <c r="D226" s="1">
        <v>1.5</v>
      </c>
      <c r="E226" s="1">
        <v>0.96652719665272</v>
      </c>
    </row>
    <row r="227" ht="15.75" customHeight="1">
      <c r="A227" s="1" t="s">
        <v>2531</v>
      </c>
      <c r="B227" s="1" t="s">
        <v>4355</v>
      </c>
      <c r="C227" s="1">
        <v>3.0</v>
      </c>
      <c r="D227" s="1">
        <v>3.0</v>
      </c>
      <c r="E227" s="1">
        <v>3.25714285714286</v>
      </c>
    </row>
    <row r="228" ht="15.75" customHeight="1">
      <c r="A228" s="1" t="s">
        <v>1775</v>
      </c>
      <c r="B228" s="1" t="s">
        <v>4356</v>
      </c>
      <c r="C228" s="1">
        <v>3.0</v>
      </c>
      <c r="D228" s="1">
        <v>1.5</v>
      </c>
      <c r="E228" s="1">
        <v>0.96652719665272</v>
      </c>
    </row>
    <row r="229" ht="15.75" customHeight="1">
      <c r="A229" s="1" t="s">
        <v>2535</v>
      </c>
      <c r="B229" s="1" t="s">
        <v>4357</v>
      </c>
      <c r="C229" s="1">
        <v>3.0</v>
      </c>
      <c r="D229" s="1">
        <v>1.0</v>
      </c>
      <c r="E229" s="1">
        <v>0.532394366197183</v>
      </c>
    </row>
    <row r="230" ht="15.75" customHeight="1">
      <c r="A230" s="1" t="s">
        <v>2539</v>
      </c>
      <c r="B230" s="1" t="s">
        <v>4358</v>
      </c>
      <c r="C230" s="1">
        <v>3.0</v>
      </c>
      <c r="D230" s="1">
        <v>0.75</v>
      </c>
      <c r="E230" s="1">
        <v>0.246835443037975</v>
      </c>
    </row>
    <row r="231" ht="15.75" customHeight="1">
      <c r="A231" s="1" t="s">
        <v>2543</v>
      </c>
      <c r="B231" s="1" t="s">
        <v>4359</v>
      </c>
      <c r="C231" s="1">
        <v>3.0</v>
      </c>
      <c r="D231" s="1">
        <v>3.0</v>
      </c>
      <c r="E231" s="1">
        <v>3.25714285714286</v>
      </c>
    </row>
    <row r="232" ht="15.75" customHeight="1">
      <c r="A232" s="1" t="s">
        <v>1779</v>
      </c>
      <c r="B232" s="1" t="s">
        <v>4360</v>
      </c>
      <c r="C232" s="1">
        <v>3.0</v>
      </c>
      <c r="D232" s="1">
        <v>1.0</v>
      </c>
      <c r="E232" s="1">
        <v>0.532394366197183</v>
      </c>
    </row>
    <row r="233" ht="15.75" customHeight="1">
      <c r="A233" s="1" t="s">
        <v>2547</v>
      </c>
      <c r="B233" s="1" t="s">
        <v>4361</v>
      </c>
      <c r="C233" s="1">
        <v>3.0</v>
      </c>
      <c r="D233" s="1">
        <v>1.5</v>
      </c>
      <c r="E233" s="1">
        <v>0.96652719665272</v>
      </c>
    </row>
    <row r="234" ht="15.75" customHeight="1">
      <c r="A234" s="1" t="s">
        <v>2551</v>
      </c>
      <c r="B234" s="1" t="s">
        <v>4362</v>
      </c>
      <c r="C234" s="1">
        <v>3.0</v>
      </c>
      <c r="D234" s="1">
        <v>1.5</v>
      </c>
      <c r="E234" s="1">
        <v>0.96652719665272</v>
      </c>
    </row>
    <row r="235" ht="15.75" customHeight="1">
      <c r="A235" s="1" t="s">
        <v>2908</v>
      </c>
      <c r="B235" s="1" t="s">
        <v>4363</v>
      </c>
      <c r="C235" s="1">
        <v>3.0</v>
      </c>
      <c r="D235" s="1">
        <v>1.0</v>
      </c>
      <c r="E235" s="1">
        <v>0.532394366197183</v>
      </c>
    </row>
    <row r="236" ht="15.75" customHeight="1">
      <c r="A236" s="1" t="s">
        <v>2912</v>
      </c>
      <c r="B236" s="1" t="s">
        <v>4364</v>
      </c>
      <c r="C236" s="1">
        <v>3.0</v>
      </c>
      <c r="D236" s="1">
        <v>1.0</v>
      </c>
      <c r="E236" s="1">
        <v>0.532394366197183</v>
      </c>
    </row>
    <row r="237" ht="15.75" customHeight="1">
      <c r="A237" s="1" t="s">
        <v>2112</v>
      </c>
      <c r="B237" s="1" t="s">
        <v>4365</v>
      </c>
      <c r="C237" s="1">
        <v>3.0</v>
      </c>
      <c r="D237" s="1">
        <v>1.0</v>
      </c>
      <c r="E237" s="1">
        <v>0.532394366197183</v>
      </c>
    </row>
    <row r="238" ht="15.75" customHeight="1">
      <c r="A238" s="1" t="s">
        <v>1783</v>
      </c>
      <c r="B238" s="1" t="s">
        <v>4366</v>
      </c>
      <c r="C238" s="1">
        <v>3.0</v>
      </c>
      <c r="D238" s="1">
        <v>0.75</v>
      </c>
      <c r="E238" s="1">
        <v>0.246835443037975</v>
      </c>
    </row>
    <row r="239" ht="15.75" customHeight="1">
      <c r="A239" s="1" t="s">
        <v>3226</v>
      </c>
      <c r="B239" s="1" t="s">
        <v>4367</v>
      </c>
      <c r="C239" s="1">
        <v>3.0</v>
      </c>
      <c r="D239" s="1">
        <v>0.6</v>
      </c>
      <c r="E239" s="1">
        <v>0.141176470588235</v>
      </c>
    </row>
    <row r="240" ht="15.75" customHeight="1">
      <c r="A240" s="1" t="s">
        <v>3230</v>
      </c>
      <c r="B240" s="1" t="s">
        <v>4368</v>
      </c>
      <c r="C240" s="1">
        <v>3.0</v>
      </c>
      <c r="D240" s="1">
        <v>0.5</v>
      </c>
      <c r="E240" s="1">
        <v>0.336633663366337</v>
      </c>
    </row>
    <row r="241" ht="15.75" customHeight="1">
      <c r="A241" s="1" t="s">
        <v>2554</v>
      </c>
      <c r="B241" s="1" t="s">
        <v>4369</v>
      </c>
      <c r="C241" s="1">
        <v>3.0</v>
      </c>
      <c r="D241" s="1">
        <v>0.5</v>
      </c>
      <c r="E241" s="1">
        <v>0.336633663366337</v>
      </c>
    </row>
    <row r="242" ht="15.75" customHeight="1">
      <c r="A242" s="1" t="s">
        <v>2916</v>
      </c>
      <c r="B242" s="1" t="s">
        <v>4370</v>
      </c>
      <c r="C242" s="1">
        <v>3.0</v>
      </c>
      <c r="D242" s="1">
        <v>0.5</v>
      </c>
      <c r="E242" s="1">
        <v>0.336633663366337</v>
      </c>
    </row>
    <row r="243" ht="15.75" customHeight="1">
      <c r="A243" s="1" t="s">
        <v>3234</v>
      </c>
      <c r="B243" s="1" t="s">
        <v>4371</v>
      </c>
      <c r="C243" s="1">
        <v>3.0</v>
      </c>
      <c r="D243" s="1">
        <v>0.3</v>
      </c>
      <c r="E243" s="1">
        <v>0.137055837563452</v>
      </c>
    </row>
    <row r="244" ht="15.75" customHeight="1">
      <c r="A244" s="1" t="s">
        <v>3238</v>
      </c>
      <c r="B244" s="1" t="s">
        <v>4372</v>
      </c>
      <c r="C244" s="1">
        <v>3.0</v>
      </c>
      <c r="D244" s="1">
        <v>0.1875</v>
      </c>
      <c r="E244" s="1">
        <v>0.391304347826087</v>
      </c>
    </row>
    <row r="245" ht="15.75" customHeight="1">
      <c r="A245" s="1" t="s">
        <v>2116</v>
      </c>
      <c r="B245" s="1" t="s">
        <v>4373</v>
      </c>
      <c r="C245" s="1">
        <v>2.0</v>
      </c>
      <c r="D245" s="1">
        <v>0.5</v>
      </c>
      <c r="E245" s="1">
        <v>0.164556962025316</v>
      </c>
    </row>
    <row r="246" ht="15.75" customHeight="1">
      <c r="A246" s="1" t="s">
        <v>2919</v>
      </c>
      <c r="B246" s="1" t="s">
        <v>4374</v>
      </c>
      <c r="C246" s="1">
        <v>2.0</v>
      </c>
      <c r="D246" s="1">
        <v>0.666666666666667</v>
      </c>
      <c r="E246" s="1">
        <v>0.354929577464789</v>
      </c>
    </row>
    <row r="247" ht="15.75" customHeight="1">
      <c r="A247" s="1" t="s">
        <v>2922</v>
      </c>
      <c r="B247" s="1" t="s">
        <v>4375</v>
      </c>
      <c r="C247" s="1">
        <v>2.0</v>
      </c>
      <c r="D247" s="1">
        <v>0.166666666666667</v>
      </c>
      <c r="E247" s="1">
        <v>0.625</v>
      </c>
    </row>
    <row r="248" ht="15.75" customHeight="1">
      <c r="A248" s="1" t="s">
        <v>2120</v>
      </c>
      <c r="B248" s="1" t="s">
        <v>4376</v>
      </c>
      <c r="C248" s="1">
        <v>2.0</v>
      </c>
      <c r="D248" s="1">
        <v>0.5</v>
      </c>
      <c r="E248" s="1">
        <v>0.164556962025316</v>
      </c>
    </row>
    <row r="249" ht="15.75" customHeight="1">
      <c r="A249" s="1" t="s">
        <v>2558</v>
      </c>
      <c r="B249" s="1" t="s">
        <v>4377</v>
      </c>
      <c r="C249" s="1">
        <v>2.0</v>
      </c>
      <c r="D249" s="1">
        <v>1.0</v>
      </c>
      <c r="E249" s="1">
        <v>0.644351464435146</v>
      </c>
    </row>
    <row r="250" ht="15.75" customHeight="1">
      <c r="A250" s="1" t="s">
        <v>1787</v>
      </c>
      <c r="B250" s="1" t="s">
        <v>4378</v>
      </c>
      <c r="C250" s="1">
        <v>2.0</v>
      </c>
      <c r="D250" s="1">
        <v>1.0</v>
      </c>
      <c r="E250" s="1">
        <v>0.644351464435146</v>
      </c>
    </row>
    <row r="251" ht="15.75" customHeight="1">
      <c r="A251" s="1" t="s">
        <v>2926</v>
      </c>
      <c r="B251" s="1" t="s">
        <v>4379</v>
      </c>
      <c r="C251" s="1">
        <v>2.0</v>
      </c>
      <c r="D251" s="1">
        <v>0.666666666666667</v>
      </c>
      <c r="E251" s="1">
        <v>0.354929577464789</v>
      </c>
    </row>
    <row r="252" ht="15.75" customHeight="1">
      <c r="A252" s="1" t="s">
        <v>3242</v>
      </c>
      <c r="B252" s="1" t="s">
        <v>4380</v>
      </c>
      <c r="C252" s="1">
        <v>2.0</v>
      </c>
      <c r="D252" s="1">
        <v>0.4</v>
      </c>
      <c r="E252" s="1">
        <v>0.0941176470588235</v>
      </c>
    </row>
    <row r="253" ht="15.75" customHeight="1">
      <c r="A253" s="1" t="s">
        <v>2562</v>
      </c>
      <c r="B253" s="1" t="s">
        <v>4381</v>
      </c>
      <c r="C253" s="1">
        <v>2.0</v>
      </c>
      <c r="D253" s="1">
        <v>0.333333333333333</v>
      </c>
      <c r="E253" s="1">
        <v>0.224422442244224</v>
      </c>
    </row>
    <row r="254" ht="15.75" customHeight="1">
      <c r="A254" s="1" t="s">
        <v>2930</v>
      </c>
      <c r="B254" s="1" t="s">
        <v>4382</v>
      </c>
      <c r="C254" s="1">
        <v>2.0</v>
      </c>
      <c r="D254" s="1">
        <v>0.4</v>
      </c>
      <c r="E254" s="1">
        <v>0.0941176470588235</v>
      </c>
    </row>
    <row r="255" ht="15.75" customHeight="1">
      <c r="A255" s="1" t="s">
        <v>1790</v>
      </c>
      <c r="B255" s="1" t="s">
        <v>4383</v>
      </c>
      <c r="C255" s="1">
        <v>2.0</v>
      </c>
      <c r="D255" s="1">
        <v>1.0</v>
      </c>
      <c r="E255" s="1">
        <v>0.644351464435146</v>
      </c>
    </row>
    <row r="256" ht="15.75" customHeight="1">
      <c r="A256" s="1" t="s">
        <v>2934</v>
      </c>
      <c r="B256" s="1" t="s">
        <v>4384</v>
      </c>
      <c r="C256" s="1">
        <v>2.0</v>
      </c>
      <c r="D256" s="1">
        <v>1.0</v>
      </c>
      <c r="E256" s="1">
        <v>0.644351464435146</v>
      </c>
    </row>
    <row r="257" ht="15.75" customHeight="1">
      <c r="A257" s="1" t="s">
        <v>3246</v>
      </c>
      <c r="B257" s="1" t="s">
        <v>4385</v>
      </c>
      <c r="C257" s="1">
        <v>2.0</v>
      </c>
      <c r="D257" s="1">
        <v>1.0</v>
      </c>
      <c r="E257" s="1">
        <v>0.644351464435146</v>
      </c>
    </row>
    <row r="258" ht="15.75" customHeight="1">
      <c r="A258" s="1" t="s">
        <v>2566</v>
      </c>
      <c r="B258" s="1" t="s">
        <v>4386</v>
      </c>
      <c r="C258" s="1">
        <v>2.0</v>
      </c>
      <c r="D258" s="1">
        <v>2.0</v>
      </c>
      <c r="E258" s="1">
        <v>2.17142857142857</v>
      </c>
    </row>
    <row r="259" ht="15.75" customHeight="1">
      <c r="A259" s="1" t="s">
        <v>2938</v>
      </c>
      <c r="B259" s="1" t="s">
        <v>4387</v>
      </c>
      <c r="C259" s="1">
        <v>2.0</v>
      </c>
      <c r="D259" s="1">
        <v>2.0</v>
      </c>
      <c r="E259" s="1">
        <v>2.17142857142857</v>
      </c>
    </row>
    <row r="260" ht="15.75" customHeight="1">
      <c r="A260" s="1" t="s">
        <v>2124</v>
      </c>
      <c r="B260" s="1" t="s">
        <v>4388</v>
      </c>
      <c r="C260" s="1">
        <v>2.0</v>
      </c>
      <c r="D260" s="1">
        <v>0.666666666666667</v>
      </c>
      <c r="E260" s="1">
        <v>0.354929577464789</v>
      </c>
    </row>
    <row r="261" ht="15.75" customHeight="1">
      <c r="A261" s="1" t="s">
        <v>2738</v>
      </c>
      <c r="B261" s="1" t="s">
        <v>4389</v>
      </c>
      <c r="C261" s="1">
        <v>2.0</v>
      </c>
      <c r="D261" s="1">
        <v>0.666666666666667</v>
      </c>
      <c r="E261" s="1">
        <v>0.354929577464789</v>
      </c>
    </row>
    <row r="262" ht="15.75" customHeight="1">
      <c r="A262" s="1" t="s">
        <v>2742</v>
      </c>
      <c r="B262" s="1" t="s">
        <v>4390</v>
      </c>
      <c r="C262" s="1">
        <v>2.0</v>
      </c>
      <c r="D262" s="1">
        <v>1.0</v>
      </c>
      <c r="E262" s="1">
        <v>0.644351464435146</v>
      </c>
    </row>
    <row r="263" ht="15.75" customHeight="1">
      <c r="A263" s="1" t="s">
        <v>1794</v>
      </c>
      <c r="B263" s="1" t="s">
        <v>4391</v>
      </c>
      <c r="C263" s="1">
        <v>2.0</v>
      </c>
      <c r="D263" s="1">
        <v>2.0</v>
      </c>
      <c r="E263" s="1">
        <v>2.17142857142857</v>
      </c>
    </row>
    <row r="264" ht="15.75" customHeight="1">
      <c r="A264" s="1" t="s">
        <v>2268</v>
      </c>
      <c r="B264" s="1" t="s">
        <v>4392</v>
      </c>
      <c r="C264" s="1">
        <v>2.0</v>
      </c>
      <c r="D264" s="1">
        <v>2.0</v>
      </c>
      <c r="E264" s="1">
        <v>2.17142857142857</v>
      </c>
    </row>
    <row r="265" ht="15.75" customHeight="1">
      <c r="A265" s="1" t="s">
        <v>3250</v>
      </c>
      <c r="B265" s="1" t="s">
        <v>4393</v>
      </c>
      <c r="C265" s="1">
        <v>2.0</v>
      </c>
      <c r="D265" s="1">
        <v>1.0</v>
      </c>
      <c r="E265" s="1">
        <v>0.644351464435146</v>
      </c>
    </row>
    <row r="266" ht="15.75" customHeight="1">
      <c r="A266" s="1" t="s">
        <v>2941</v>
      </c>
      <c r="B266" s="1" t="s">
        <v>4394</v>
      </c>
      <c r="C266" s="1">
        <v>2.0</v>
      </c>
      <c r="D266" s="1">
        <v>0.333333333333333</v>
      </c>
      <c r="E266" s="1">
        <v>0.224422442244224</v>
      </c>
    </row>
    <row r="267" ht="15.75" customHeight="1">
      <c r="A267" s="1" t="s">
        <v>2570</v>
      </c>
      <c r="B267" s="1" t="s">
        <v>4395</v>
      </c>
      <c r="C267" s="1">
        <v>2.0</v>
      </c>
      <c r="D267" s="1">
        <v>1.0</v>
      </c>
      <c r="E267" s="1">
        <v>0.644351464435146</v>
      </c>
    </row>
    <row r="268" ht="15.75" customHeight="1">
      <c r="A268" s="1" t="s">
        <v>2574</v>
      </c>
      <c r="B268" s="1" t="s">
        <v>4396</v>
      </c>
      <c r="C268" s="1">
        <v>2.0</v>
      </c>
      <c r="D268" s="1">
        <v>0.4</v>
      </c>
      <c r="E268" s="1">
        <v>0.0941176470588235</v>
      </c>
    </row>
    <row r="269" ht="15.75" customHeight="1">
      <c r="A269" s="1" t="s">
        <v>2578</v>
      </c>
      <c r="B269" s="1" t="s">
        <v>4397</v>
      </c>
      <c r="C269" s="1">
        <v>2.0</v>
      </c>
      <c r="D269" s="1">
        <v>2.0</v>
      </c>
      <c r="E269" s="1">
        <v>2.17142857142857</v>
      </c>
    </row>
    <row r="270" ht="15.75" customHeight="1">
      <c r="A270" s="1" t="s">
        <v>2582</v>
      </c>
      <c r="B270" s="1" t="s">
        <v>4398</v>
      </c>
      <c r="C270" s="1">
        <v>2.0</v>
      </c>
      <c r="D270" s="1">
        <v>2.0</v>
      </c>
      <c r="E270" s="1">
        <v>2.17142857142857</v>
      </c>
    </row>
    <row r="271" ht="15.75" customHeight="1">
      <c r="A271" s="1" t="s">
        <v>2586</v>
      </c>
      <c r="B271" s="1" t="s">
        <v>4399</v>
      </c>
      <c r="C271" s="1">
        <v>2.0</v>
      </c>
      <c r="D271" s="1">
        <v>1.0</v>
      </c>
      <c r="E271" s="1">
        <v>0.644351464435146</v>
      </c>
    </row>
    <row r="272" ht="15.75" customHeight="1">
      <c r="A272" s="1" t="s">
        <v>3253</v>
      </c>
      <c r="B272" s="1" t="s">
        <v>4400</v>
      </c>
      <c r="C272" s="1">
        <v>2.0</v>
      </c>
      <c r="D272" s="1">
        <v>1.0</v>
      </c>
      <c r="E272" s="1">
        <v>0.644351464435146</v>
      </c>
    </row>
    <row r="273" ht="15.75" customHeight="1">
      <c r="A273" s="1" t="s">
        <v>2590</v>
      </c>
      <c r="B273" s="1" t="s">
        <v>4401</v>
      </c>
      <c r="C273" s="1">
        <v>2.0</v>
      </c>
      <c r="D273" s="1">
        <v>1.0</v>
      </c>
      <c r="E273" s="1">
        <v>0.644351464435146</v>
      </c>
    </row>
    <row r="274" ht="15.75" customHeight="1">
      <c r="A274" s="1" t="s">
        <v>2945</v>
      </c>
      <c r="B274" s="1" t="s">
        <v>4402</v>
      </c>
      <c r="C274" s="1">
        <v>2.0</v>
      </c>
      <c r="D274" s="1">
        <v>1.0</v>
      </c>
      <c r="E274" s="1">
        <v>0.644351464435146</v>
      </c>
    </row>
    <row r="275" ht="15.75" customHeight="1">
      <c r="A275" s="1" t="s">
        <v>2594</v>
      </c>
      <c r="B275" s="1" t="s">
        <v>4403</v>
      </c>
      <c r="C275" s="1">
        <v>2.0</v>
      </c>
      <c r="D275" s="1">
        <v>1.0</v>
      </c>
      <c r="E275" s="1">
        <v>0.644351464435146</v>
      </c>
    </row>
    <row r="276" ht="15.75" customHeight="1">
      <c r="A276" s="1" t="s">
        <v>1798</v>
      </c>
      <c r="B276" s="1" t="s">
        <v>4404</v>
      </c>
      <c r="C276" s="1">
        <v>2.0</v>
      </c>
      <c r="D276" s="1">
        <v>1.0</v>
      </c>
      <c r="E276" s="1">
        <v>0.644351464435146</v>
      </c>
    </row>
    <row r="277" ht="15.75" customHeight="1">
      <c r="A277" s="1" t="s">
        <v>3257</v>
      </c>
      <c r="B277" s="1" t="s">
        <v>4405</v>
      </c>
      <c r="C277" s="1">
        <v>2.0</v>
      </c>
      <c r="D277" s="1">
        <v>1.0</v>
      </c>
      <c r="E277" s="1">
        <v>0.644351464435146</v>
      </c>
    </row>
    <row r="278" ht="15.75" customHeight="1">
      <c r="A278" s="1" t="s">
        <v>2598</v>
      </c>
      <c r="B278" s="1" t="s">
        <v>4406</v>
      </c>
      <c r="C278" s="1">
        <v>2.0</v>
      </c>
      <c r="D278" s="1">
        <v>1.0</v>
      </c>
      <c r="E278" s="1">
        <v>0.644351464435146</v>
      </c>
    </row>
    <row r="279" ht="15.75" customHeight="1">
      <c r="A279" s="1" t="s">
        <v>2949</v>
      </c>
      <c r="B279" s="1" t="s">
        <v>4407</v>
      </c>
      <c r="C279" s="1">
        <v>2.0</v>
      </c>
      <c r="D279" s="1">
        <v>0.666666666666667</v>
      </c>
      <c r="E279" s="1">
        <v>0.354929577464789</v>
      </c>
    </row>
    <row r="280" ht="15.75" customHeight="1">
      <c r="A280" s="1" t="s">
        <v>1802</v>
      </c>
      <c r="B280" s="1" t="s">
        <v>4408</v>
      </c>
      <c r="C280" s="1">
        <v>2.0</v>
      </c>
      <c r="D280" s="1">
        <v>0.666666666666667</v>
      </c>
      <c r="E280" s="1">
        <v>0.354929577464789</v>
      </c>
    </row>
    <row r="281" ht="15.75" customHeight="1">
      <c r="A281" s="1" t="s">
        <v>2602</v>
      </c>
      <c r="B281" s="1" t="s">
        <v>4409</v>
      </c>
      <c r="C281" s="1">
        <v>2.0</v>
      </c>
      <c r="D281" s="1">
        <v>0.666666666666667</v>
      </c>
      <c r="E281" s="1">
        <v>0.354929577464789</v>
      </c>
    </row>
    <row r="282" ht="15.75" customHeight="1">
      <c r="A282" s="1" t="s">
        <v>2606</v>
      </c>
      <c r="B282" s="1" t="s">
        <v>4410</v>
      </c>
      <c r="C282" s="1">
        <v>2.0</v>
      </c>
      <c r="D282" s="1">
        <v>0.333333333333333</v>
      </c>
      <c r="E282" s="1">
        <v>0.224422442244224</v>
      </c>
    </row>
    <row r="283" ht="15.75" customHeight="1">
      <c r="A283" s="1" t="s">
        <v>2128</v>
      </c>
      <c r="B283" s="1" t="s">
        <v>4411</v>
      </c>
      <c r="C283" s="1">
        <v>2.0</v>
      </c>
      <c r="D283" s="1">
        <v>0.285714285714286</v>
      </c>
      <c r="E283" s="1">
        <v>0.156462585034014</v>
      </c>
    </row>
    <row r="284" ht="15.75" customHeight="1">
      <c r="A284" s="1" t="s">
        <v>2726</v>
      </c>
      <c r="B284" s="1" t="s">
        <v>4412</v>
      </c>
      <c r="C284" s="1">
        <v>2.0</v>
      </c>
      <c r="D284" s="1">
        <v>0.285714285714286</v>
      </c>
      <c r="E284" s="1">
        <v>0.156462585034014</v>
      </c>
    </row>
    <row r="285" ht="15.75" customHeight="1">
      <c r="A285" s="1" t="s">
        <v>3261</v>
      </c>
      <c r="B285" s="1" t="s">
        <v>4413</v>
      </c>
      <c r="C285" s="1">
        <v>2.0</v>
      </c>
      <c r="D285" s="1">
        <v>0.25</v>
      </c>
      <c r="E285" s="1">
        <v>0.157068062827225</v>
      </c>
    </row>
    <row r="286" ht="15.75" customHeight="1">
      <c r="A286" s="1" t="s">
        <v>2272</v>
      </c>
      <c r="B286" s="1" t="s">
        <v>4414</v>
      </c>
      <c r="C286" s="1">
        <v>2.0</v>
      </c>
      <c r="D286" s="1">
        <v>0.2</v>
      </c>
      <c r="E286" s="1">
        <v>0.0913705583756345</v>
      </c>
    </row>
    <row r="287" ht="15.75" customHeight="1">
      <c r="A287" s="1" t="s">
        <v>2132</v>
      </c>
      <c r="B287" s="1" t="s">
        <v>4415</v>
      </c>
      <c r="C287" s="1">
        <v>2.0</v>
      </c>
      <c r="D287" s="1">
        <v>0.181818181818182</v>
      </c>
      <c r="E287" s="1">
        <v>0.0396039603960396</v>
      </c>
    </row>
    <row r="288" ht="15.75" customHeight="1">
      <c r="A288" s="1" t="s">
        <v>1805</v>
      </c>
      <c r="B288" s="1" t="s">
        <v>4416</v>
      </c>
      <c r="C288" s="1">
        <v>2.0</v>
      </c>
      <c r="D288" s="1">
        <v>0.181818181818182</v>
      </c>
      <c r="E288" s="1">
        <v>0.0396039603960396</v>
      </c>
    </row>
    <row r="289" ht="15.75" customHeight="1">
      <c r="A289" s="1" t="s">
        <v>2952</v>
      </c>
      <c r="B289" s="1" t="s">
        <v>4417</v>
      </c>
      <c r="C289" s="1">
        <v>2.0</v>
      </c>
      <c r="D289" s="1">
        <v>0.166666666666667</v>
      </c>
      <c r="E289" s="1">
        <v>0.625</v>
      </c>
    </row>
    <row r="290" ht="15.75" customHeight="1">
      <c r="A290" s="1" t="s">
        <v>2136</v>
      </c>
      <c r="B290" s="1" t="s">
        <v>4418</v>
      </c>
      <c r="C290" s="1">
        <v>2.0</v>
      </c>
      <c r="D290" s="1">
        <v>0.153846153846154</v>
      </c>
      <c r="E290" s="1">
        <v>1.23809523809524</v>
      </c>
    </row>
    <row r="291" ht="15.75" customHeight="1">
      <c r="A291" s="1" t="s">
        <v>1809</v>
      </c>
      <c r="B291" s="1" t="s">
        <v>4419</v>
      </c>
      <c r="C291" s="1">
        <v>2.0</v>
      </c>
      <c r="D291" s="1">
        <v>0.125</v>
      </c>
      <c r="E291" s="1">
        <v>0.260869565217391</v>
      </c>
    </row>
    <row r="292" ht="15.75" customHeight="1">
      <c r="A292" s="1" t="s">
        <v>3265</v>
      </c>
      <c r="B292" s="1" t="s">
        <v>4420</v>
      </c>
      <c r="C292" s="1">
        <v>2.0</v>
      </c>
      <c r="D292" s="1">
        <v>0.105263157894737</v>
      </c>
      <c r="E292" s="1">
        <v>0.3</v>
      </c>
    </row>
    <row r="293" ht="15.75" customHeight="1">
      <c r="A293" s="1" t="s">
        <v>2956</v>
      </c>
      <c r="B293" s="1" t="s">
        <v>4421</v>
      </c>
      <c r="C293" s="1">
        <v>1.0</v>
      </c>
      <c r="D293" s="1">
        <v>0.25</v>
      </c>
      <c r="E293" s="1">
        <v>0.0822784810126582</v>
      </c>
    </row>
    <row r="294" ht="15.75" customHeight="1">
      <c r="A294" s="1" t="s">
        <v>2139</v>
      </c>
      <c r="B294" s="1" t="s">
        <v>4422</v>
      </c>
      <c r="C294" s="1">
        <v>1.0</v>
      </c>
      <c r="D294" s="1">
        <v>0.5</v>
      </c>
      <c r="E294" s="1">
        <v>0.322175732217573</v>
      </c>
    </row>
    <row r="295" ht="15.75" customHeight="1">
      <c r="A295" s="1" t="s">
        <v>1812</v>
      </c>
      <c r="B295" s="1" t="s">
        <v>4423</v>
      </c>
      <c r="C295" s="1">
        <v>1.0</v>
      </c>
      <c r="D295" s="1">
        <v>0.333333333333333</v>
      </c>
      <c r="E295" s="1">
        <v>0.177464788732394</v>
      </c>
    </row>
    <row r="296" ht="15.75" customHeight="1">
      <c r="A296" s="1" t="s">
        <v>1816</v>
      </c>
      <c r="B296" s="1" t="s">
        <v>4424</v>
      </c>
      <c r="C296" s="1">
        <v>1.0</v>
      </c>
      <c r="D296" s="1">
        <v>1.0</v>
      </c>
      <c r="E296" s="1">
        <v>1.08571428571429</v>
      </c>
    </row>
    <row r="297" ht="15.75" customHeight="1">
      <c r="A297" s="1" t="s">
        <v>2959</v>
      </c>
      <c r="B297" s="1" t="s">
        <v>4425</v>
      </c>
      <c r="C297" s="1">
        <v>1.0</v>
      </c>
      <c r="D297" s="1">
        <v>0.5</v>
      </c>
      <c r="E297" s="1">
        <v>0.322175732217573</v>
      </c>
    </row>
    <row r="298" ht="15.75" customHeight="1">
      <c r="A298" s="1" t="s">
        <v>2730</v>
      </c>
      <c r="B298" s="1" t="s">
        <v>4426</v>
      </c>
      <c r="C298" s="1">
        <v>1.0</v>
      </c>
      <c r="D298" s="1">
        <v>0.0769230769230769</v>
      </c>
      <c r="E298" s="1">
        <v>0.619047619047619</v>
      </c>
    </row>
    <row r="299" ht="15.75" customHeight="1">
      <c r="A299" s="1" t="s">
        <v>1820</v>
      </c>
      <c r="B299" s="1" t="s">
        <v>4427</v>
      </c>
      <c r="C299" s="1">
        <v>1.0</v>
      </c>
      <c r="D299" s="1">
        <v>0.5</v>
      </c>
      <c r="E299" s="1">
        <v>0.322175732217573</v>
      </c>
    </row>
    <row r="300" ht="15.75" customHeight="1">
      <c r="A300" s="1" t="s">
        <v>1824</v>
      </c>
      <c r="B300" s="1" t="s">
        <v>4428</v>
      </c>
      <c r="C300" s="1">
        <v>1.0</v>
      </c>
      <c r="D300" s="1">
        <v>0.5</v>
      </c>
      <c r="E300" s="1">
        <v>0.322175732217573</v>
      </c>
    </row>
    <row r="301" ht="15.75" customHeight="1">
      <c r="A301" s="1" t="s">
        <v>2610</v>
      </c>
      <c r="B301" s="1" t="s">
        <v>4429</v>
      </c>
      <c r="C301" s="1">
        <v>1.0</v>
      </c>
      <c r="D301" s="1">
        <v>0.5</v>
      </c>
      <c r="E301" s="1">
        <v>0.322175732217573</v>
      </c>
    </row>
    <row r="302" ht="15.75" customHeight="1">
      <c r="A302" s="1" t="s">
        <v>1828</v>
      </c>
      <c r="B302" s="1" t="s">
        <v>4430</v>
      </c>
      <c r="C302" s="1">
        <v>1.0</v>
      </c>
      <c r="D302" s="1">
        <v>0.5</v>
      </c>
      <c r="E302" s="1">
        <v>0.322175732217573</v>
      </c>
    </row>
    <row r="303" ht="15.75" customHeight="1">
      <c r="A303" s="1" t="s">
        <v>1832</v>
      </c>
      <c r="B303" s="1" t="s">
        <v>4431</v>
      </c>
      <c r="C303" s="1">
        <v>1.0</v>
      </c>
      <c r="D303" s="1">
        <v>0.25</v>
      </c>
      <c r="E303" s="1">
        <v>0.0822784810126582</v>
      </c>
    </row>
    <row r="304" ht="15.75" customHeight="1">
      <c r="A304" s="1" t="s">
        <v>1836</v>
      </c>
      <c r="B304" s="1" t="s">
        <v>4432</v>
      </c>
      <c r="C304" s="1">
        <v>1.0</v>
      </c>
      <c r="D304" s="1">
        <v>0.5</v>
      </c>
      <c r="E304" s="1">
        <v>0.322175732217573</v>
      </c>
    </row>
    <row r="305" ht="15.75" customHeight="1">
      <c r="A305" s="1" t="s">
        <v>2963</v>
      </c>
      <c r="B305" s="1" t="s">
        <v>4433</v>
      </c>
      <c r="C305" s="1">
        <v>1.0</v>
      </c>
      <c r="D305" s="1">
        <v>1.0</v>
      </c>
      <c r="E305" s="1">
        <v>1.08571428571429</v>
      </c>
    </row>
    <row r="306" ht="15.75" customHeight="1">
      <c r="A306" s="1" t="s">
        <v>2967</v>
      </c>
      <c r="B306" s="1" t="s">
        <v>4434</v>
      </c>
      <c r="C306" s="1">
        <v>1.0</v>
      </c>
      <c r="D306" s="1">
        <v>0.333333333333333</v>
      </c>
      <c r="E306" s="1">
        <v>0.177464788732394</v>
      </c>
    </row>
    <row r="307" ht="15.75" customHeight="1">
      <c r="A307" s="1" t="s">
        <v>2614</v>
      </c>
      <c r="B307" s="1" t="s">
        <v>4435</v>
      </c>
      <c r="C307" s="1">
        <v>1.0</v>
      </c>
      <c r="D307" s="1">
        <v>0.5</v>
      </c>
      <c r="E307" s="1">
        <v>0.322175732217573</v>
      </c>
    </row>
    <row r="308" ht="15.75" customHeight="1">
      <c r="A308" s="1" t="s">
        <v>3269</v>
      </c>
      <c r="B308" s="1" t="s">
        <v>4436</v>
      </c>
      <c r="C308" s="1">
        <v>1.0</v>
      </c>
      <c r="D308" s="1">
        <v>1.0</v>
      </c>
      <c r="E308" s="1">
        <v>1.08571428571429</v>
      </c>
    </row>
    <row r="309" ht="15.75" customHeight="1">
      <c r="A309" s="1" t="s">
        <v>2746</v>
      </c>
      <c r="B309" s="1" t="s">
        <v>4437</v>
      </c>
      <c r="C309" s="1">
        <v>1.0</v>
      </c>
      <c r="D309" s="1">
        <v>0.5</v>
      </c>
      <c r="E309" s="1">
        <v>0.322175732217573</v>
      </c>
    </row>
    <row r="310" ht="15.75" customHeight="1">
      <c r="A310" s="1" t="s">
        <v>3272</v>
      </c>
      <c r="B310" s="1" t="s">
        <v>4438</v>
      </c>
      <c r="C310" s="1">
        <v>1.0</v>
      </c>
      <c r="D310" s="1">
        <v>0.5</v>
      </c>
      <c r="E310" s="1">
        <v>0.322175732217573</v>
      </c>
    </row>
    <row r="311" ht="15.75" customHeight="1">
      <c r="A311" s="1" t="s">
        <v>2143</v>
      </c>
      <c r="B311" s="1" t="s">
        <v>4439</v>
      </c>
      <c r="C311" s="1">
        <v>1.0</v>
      </c>
      <c r="D311" s="1">
        <v>0.5</v>
      </c>
      <c r="E311" s="1">
        <v>0.322175732217573</v>
      </c>
    </row>
    <row r="312" ht="15.75" customHeight="1">
      <c r="A312" s="1" t="s">
        <v>2618</v>
      </c>
      <c r="B312" s="1" t="s">
        <v>4440</v>
      </c>
      <c r="C312" s="1">
        <v>1.0</v>
      </c>
      <c r="D312" s="1">
        <v>0.5</v>
      </c>
      <c r="E312" s="1">
        <v>0.322175732217573</v>
      </c>
    </row>
    <row r="313" ht="15.75" customHeight="1">
      <c r="A313" s="1" t="s">
        <v>2622</v>
      </c>
      <c r="B313" s="1" t="s">
        <v>4441</v>
      </c>
      <c r="C313" s="1">
        <v>1.0</v>
      </c>
      <c r="D313" s="1">
        <v>1.0</v>
      </c>
      <c r="E313" s="1">
        <v>1.08571428571429</v>
      </c>
    </row>
    <row r="314" ht="15.75" customHeight="1">
      <c r="A314" s="1" t="s">
        <v>2626</v>
      </c>
      <c r="B314" s="1" t="s">
        <v>4442</v>
      </c>
      <c r="C314" s="1">
        <v>1.0</v>
      </c>
      <c r="D314" s="1">
        <v>0.333333333333333</v>
      </c>
      <c r="E314" s="1">
        <v>0.177464788732394</v>
      </c>
    </row>
    <row r="315" ht="15.75" customHeight="1">
      <c r="A315" s="1" t="s">
        <v>2630</v>
      </c>
      <c r="B315" s="1" t="s">
        <v>4443</v>
      </c>
      <c r="C315" s="1">
        <v>1.0</v>
      </c>
      <c r="D315" s="1">
        <v>0.166666666666667</v>
      </c>
      <c r="E315" s="1">
        <v>0.112211221122112</v>
      </c>
    </row>
    <row r="316" ht="15.75" customHeight="1">
      <c r="A316" s="1" t="s">
        <v>2147</v>
      </c>
      <c r="B316" s="1" t="s">
        <v>4444</v>
      </c>
      <c r="C316" s="1">
        <v>1.0</v>
      </c>
      <c r="D316" s="1">
        <v>0.333333333333333</v>
      </c>
      <c r="E316" s="1">
        <v>0.177464788732394</v>
      </c>
    </row>
    <row r="317" ht="15.75" customHeight="1">
      <c r="A317" s="1" t="s">
        <v>2151</v>
      </c>
      <c r="B317" s="1" t="s">
        <v>4445</v>
      </c>
      <c r="C317" s="1">
        <v>1.0</v>
      </c>
      <c r="D317" s="1">
        <v>0.333333333333333</v>
      </c>
      <c r="E317" s="1">
        <v>0.177464788732394</v>
      </c>
    </row>
    <row r="318" ht="15.75" customHeight="1">
      <c r="A318" s="1" t="s">
        <v>1840</v>
      </c>
      <c r="B318" s="1" t="s">
        <v>4446</v>
      </c>
      <c r="C318" s="1">
        <v>1.0</v>
      </c>
      <c r="D318" s="1">
        <v>0.2</v>
      </c>
      <c r="E318" s="1">
        <v>0.0470588235294118</v>
      </c>
    </row>
    <row r="319" ht="15.75" customHeight="1">
      <c r="A319" s="1" t="s">
        <v>1637</v>
      </c>
      <c r="B319" s="1" t="s">
        <v>4447</v>
      </c>
      <c r="C319" s="1">
        <v>1.0</v>
      </c>
      <c r="D319" s="1">
        <v>0.333333333333333</v>
      </c>
      <c r="E319" s="1">
        <v>0.177464788732394</v>
      </c>
    </row>
    <row r="320" ht="15.75" customHeight="1">
      <c r="A320" s="1" t="s">
        <v>2634</v>
      </c>
      <c r="B320" s="1" t="s">
        <v>4448</v>
      </c>
      <c r="C320" s="1">
        <v>1.0</v>
      </c>
      <c r="D320" s="1">
        <v>1.0</v>
      </c>
      <c r="E320" s="1">
        <v>1.08571428571429</v>
      </c>
    </row>
    <row r="321" ht="15.75" customHeight="1">
      <c r="A321" s="1" t="s">
        <v>1844</v>
      </c>
      <c r="B321" s="1" t="s">
        <v>4449</v>
      </c>
      <c r="C321" s="1">
        <v>1.0</v>
      </c>
      <c r="D321" s="1">
        <v>0.333333333333333</v>
      </c>
      <c r="E321" s="1">
        <v>0.177464788732394</v>
      </c>
    </row>
    <row r="322" ht="15.75" customHeight="1">
      <c r="A322" s="1" t="s">
        <v>2155</v>
      </c>
      <c r="B322" s="1" t="s">
        <v>4450</v>
      </c>
      <c r="C322" s="1">
        <v>1.0</v>
      </c>
      <c r="D322" s="1">
        <v>1.0</v>
      </c>
      <c r="E322" s="1">
        <v>1.08571428571429</v>
      </c>
    </row>
    <row r="323" ht="15.75" customHeight="1">
      <c r="A323" s="1" t="s">
        <v>1848</v>
      </c>
      <c r="B323" s="1" t="s">
        <v>4451</v>
      </c>
      <c r="C323" s="1">
        <v>1.0</v>
      </c>
      <c r="D323" s="1">
        <v>1.0</v>
      </c>
      <c r="E323" s="1">
        <v>1.08571428571429</v>
      </c>
    </row>
    <row r="324" ht="15.75" customHeight="1">
      <c r="A324" s="1" t="s">
        <v>2638</v>
      </c>
      <c r="B324" s="1" t="s">
        <v>4452</v>
      </c>
      <c r="C324" s="1">
        <v>1.0</v>
      </c>
      <c r="D324" s="1">
        <v>1.0</v>
      </c>
      <c r="E324" s="1">
        <v>1.08571428571429</v>
      </c>
    </row>
    <row r="325" ht="15.75" customHeight="1">
      <c r="A325" s="1" t="s">
        <v>2970</v>
      </c>
      <c r="B325" s="1" t="s">
        <v>4453</v>
      </c>
      <c r="C325" s="1">
        <v>1.0</v>
      </c>
      <c r="D325" s="1">
        <v>1.0</v>
      </c>
      <c r="E325" s="1">
        <v>1.08571428571429</v>
      </c>
    </row>
    <row r="326" ht="15.75" customHeight="1">
      <c r="A326" s="1" t="s">
        <v>1852</v>
      </c>
      <c r="B326" s="1" t="s">
        <v>4454</v>
      </c>
      <c r="C326" s="1">
        <v>1.0</v>
      </c>
      <c r="D326" s="1">
        <v>0.5</v>
      </c>
      <c r="E326" s="1">
        <v>0.322175732217573</v>
      </c>
    </row>
    <row r="327" ht="15.75" customHeight="1">
      <c r="A327" s="1" t="s">
        <v>1856</v>
      </c>
      <c r="B327" s="1" t="s">
        <v>4455</v>
      </c>
      <c r="C327" s="1">
        <v>1.0</v>
      </c>
      <c r="D327" s="1">
        <v>0.5</v>
      </c>
      <c r="E327" s="1">
        <v>0.322175732217573</v>
      </c>
    </row>
    <row r="328" ht="15.75" customHeight="1">
      <c r="A328" s="1" t="s">
        <v>2974</v>
      </c>
      <c r="B328" s="1" t="s">
        <v>4456</v>
      </c>
      <c r="C328" s="1">
        <v>1.0</v>
      </c>
      <c r="D328" s="1">
        <v>0.5</v>
      </c>
      <c r="E328" s="1">
        <v>0.322175732217573</v>
      </c>
    </row>
    <row r="329" ht="15.75" customHeight="1">
      <c r="A329" s="1" t="s">
        <v>1860</v>
      </c>
      <c r="B329" s="1" t="s">
        <v>4457</v>
      </c>
      <c r="C329" s="1">
        <v>1.0</v>
      </c>
      <c r="D329" s="1">
        <v>0.333333333333333</v>
      </c>
      <c r="E329" s="1">
        <v>0.177464788732394</v>
      </c>
    </row>
    <row r="330" ht="15.75" customHeight="1">
      <c r="A330" s="1" t="s">
        <v>2159</v>
      </c>
      <c r="B330" s="1" t="s">
        <v>4458</v>
      </c>
      <c r="C330" s="1">
        <v>1.0</v>
      </c>
      <c r="D330" s="1">
        <v>0.333333333333333</v>
      </c>
      <c r="E330" s="1">
        <v>0.177464788732394</v>
      </c>
    </row>
    <row r="331" ht="15.75" customHeight="1">
      <c r="A331" s="1" t="s">
        <v>1864</v>
      </c>
      <c r="B331" s="1" t="s">
        <v>4459</v>
      </c>
      <c r="C331" s="1">
        <v>1.0</v>
      </c>
      <c r="D331" s="1">
        <v>0.333333333333333</v>
      </c>
      <c r="E331" s="1">
        <v>0.177464788732394</v>
      </c>
    </row>
    <row r="332" ht="15.75" customHeight="1">
      <c r="A332" s="1" t="s">
        <v>1640</v>
      </c>
      <c r="B332" s="1" t="s">
        <v>4460</v>
      </c>
      <c r="C332" s="1">
        <v>1.0</v>
      </c>
      <c r="D332" s="1">
        <v>0.333333333333333</v>
      </c>
      <c r="E332" s="1">
        <v>0.177464788732394</v>
      </c>
    </row>
    <row r="333" ht="15.75" customHeight="1">
      <c r="A333" s="1" t="s">
        <v>2978</v>
      </c>
      <c r="B333" s="1" t="s">
        <v>4461</v>
      </c>
      <c r="C333" s="1">
        <v>1.0</v>
      </c>
      <c r="D333" s="1">
        <v>0.25</v>
      </c>
      <c r="E333" s="1">
        <v>0.0822784810126582</v>
      </c>
    </row>
    <row r="334" ht="15.75" customHeight="1">
      <c r="A334" s="1" t="s">
        <v>3276</v>
      </c>
      <c r="B334" s="1" t="s">
        <v>4462</v>
      </c>
      <c r="C334" s="1">
        <v>1.0</v>
      </c>
      <c r="D334" s="1">
        <v>0.25</v>
      </c>
      <c r="E334" s="1">
        <v>0.0822784810126582</v>
      </c>
    </row>
    <row r="335" ht="15.75" customHeight="1">
      <c r="A335" s="1" t="s">
        <v>2982</v>
      </c>
      <c r="B335" s="1" t="s">
        <v>4463</v>
      </c>
      <c r="C335" s="1">
        <v>1.0</v>
      </c>
      <c r="D335" s="1">
        <v>0.25</v>
      </c>
      <c r="E335" s="1">
        <v>0.0822784810126582</v>
      </c>
    </row>
    <row r="336" ht="15.75" customHeight="1">
      <c r="A336" s="1" t="s">
        <v>2986</v>
      </c>
      <c r="B336" s="1" t="s">
        <v>4464</v>
      </c>
      <c r="C336" s="1">
        <v>1.0</v>
      </c>
      <c r="D336" s="1">
        <v>0.25</v>
      </c>
      <c r="E336" s="1">
        <v>0.0822784810126582</v>
      </c>
    </row>
    <row r="337" ht="15.75" customHeight="1">
      <c r="A337" s="1" t="s">
        <v>1868</v>
      </c>
      <c r="B337" s="1" t="s">
        <v>4465</v>
      </c>
      <c r="C337" s="1">
        <v>1.0</v>
      </c>
      <c r="D337" s="1">
        <v>0.25</v>
      </c>
      <c r="E337" s="1">
        <v>0.0822784810126582</v>
      </c>
    </row>
    <row r="338" ht="15.75" customHeight="1">
      <c r="A338" s="1" t="s">
        <v>3280</v>
      </c>
      <c r="B338" s="1" t="s">
        <v>4466</v>
      </c>
      <c r="C338" s="1">
        <v>1.0</v>
      </c>
      <c r="D338" s="1">
        <v>0.2</v>
      </c>
      <c r="E338" s="1">
        <v>0.0470588235294118</v>
      </c>
    </row>
    <row r="339" ht="15.75" customHeight="1">
      <c r="A339" s="1" t="s">
        <v>2642</v>
      </c>
      <c r="B339" s="1" t="s">
        <v>4467</v>
      </c>
      <c r="C339" s="1">
        <v>1.0</v>
      </c>
      <c r="D339" s="1">
        <v>0.166666666666667</v>
      </c>
      <c r="E339" s="1">
        <v>0.112211221122112</v>
      </c>
    </row>
    <row r="340" ht="15.75" customHeight="1">
      <c r="A340" s="1" t="s">
        <v>2275</v>
      </c>
      <c r="B340" s="1" t="s">
        <v>4468</v>
      </c>
      <c r="C340" s="1">
        <v>1.0</v>
      </c>
      <c r="D340" s="1">
        <v>0.166666666666667</v>
      </c>
      <c r="E340" s="1">
        <v>0.112211221122112</v>
      </c>
    </row>
    <row r="341" ht="15.75" customHeight="1">
      <c r="A341" s="1" t="s">
        <v>2990</v>
      </c>
      <c r="B341" s="1" t="s">
        <v>4469</v>
      </c>
      <c r="C341" s="1">
        <v>1.0</v>
      </c>
      <c r="D341" s="1">
        <v>0.166666666666667</v>
      </c>
      <c r="E341" s="1">
        <v>0.112211221122112</v>
      </c>
    </row>
    <row r="342" ht="15.75" customHeight="1">
      <c r="A342" s="1" t="s">
        <v>3283</v>
      </c>
      <c r="B342" s="1" t="s">
        <v>4470</v>
      </c>
      <c r="C342" s="1">
        <v>1.0</v>
      </c>
      <c r="D342" s="1">
        <v>0.142857142857143</v>
      </c>
      <c r="E342" s="1">
        <v>0.0782312925170068</v>
      </c>
    </row>
    <row r="343" ht="15.75" customHeight="1">
      <c r="A343" s="1" t="s">
        <v>3287</v>
      </c>
      <c r="B343" s="1" t="s">
        <v>4471</v>
      </c>
      <c r="C343" s="1">
        <v>1.0</v>
      </c>
      <c r="D343" s="1">
        <v>0.142857142857143</v>
      </c>
      <c r="E343" s="1">
        <v>0.0782312925170068</v>
      </c>
    </row>
    <row r="344" ht="15.75" customHeight="1">
      <c r="A344" s="1" t="s">
        <v>1871</v>
      </c>
      <c r="B344" s="1" t="s">
        <v>4472</v>
      </c>
      <c r="C344" s="1">
        <v>1.0</v>
      </c>
      <c r="D344" s="1">
        <v>0.142857142857143</v>
      </c>
      <c r="E344" s="1">
        <v>0.0782312925170068</v>
      </c>
    </row>
    <row r="345" ht="15.75" customHeight="1">
      <c r="A345" s="1" t="s">
        <v>2646</v>
      </c>
      <c r="B345" s="1" t="s">
        <v>4473</v>
      </c>
      <c r="C345" s="1">
        <v>1.0</v>
      </c>
      <c r="D345" s="1">
        <v>0.142857142857143</v>
      </c>
      <c r="E345" s="1">
        <v>0.0782312925170068</v>
      </c>
    </row>
    <row r="346" ht="15.75" customHeight="1">
      <c r="A346" s="1" t="s">
        <v>2994</v>
      </c>
      <c r="B346" s="1" t="s">
        <v>4474</v>
      </c>
      <c r="C346" s="1">
        <v>1.0</v>
      </c>
      <c r="D346" s="1">
        <v>0.125</v>
      </c>
      <c r="E346" s="1">
        <v>0.0785340314136126</v>
      </c>
    </row>
    <row r="347" ht="15.75" customHeight="1">
      <c r="A347" s="1" t="s">
        <v>3290</v>
      </c>
      <c r="B347" s="1" t="s">
        <v>4475</v>
      </c>
      <c r="C347" s="1">
        <v>1.0</v>
      </c>
      <c r="D347" s="1">
        <v>0.125</v>
      </c>
      <c r="E347" s="1">
        <v>0.0785340314136126</v>
      </c>
    </row>
    <row r="348" ht="15.75" customHeight="1">
      <c r="A348" s="1" t="s">
        <v>2278</v>
      </c>
      <c r="B348" s="1" t="s">
        <v>4476</v>
      </c>
      <c r="C348" s="1">
        <v>1.0</v>
      </c>
      <c r="D348" s="1">
        <v>0.111111111111111</v>
      </c>
      <c r="E348" s="1">
        <v>0.112359550561798</v>
      </c>
    </row>
    <row r="349" ht="15.75" customHeight="1">
      <c r="A349" s="1" t="s">
        <v>2163</v>
      </c>
      <c r="B349" s="1" t="s">
        <v>4477</v>
      </c>
      <c r="C349" s="1">
        <v>1.0</v>
      </c>
      <c r="D349" s="1">
        <v>0.1</v>
      </c>
      <c r="E349" s="1">
        <v>0.0456852791878173</v>
      </c>
    </row>
    <row r="350" ht="15.75" customHeight="1">
      <c r="A350" s="1" t="s">
        <v>2166</v>
      </c>
      <c r="B350" s="1" t="s">
        <v>4478</v>
      </c>
      <c r="C350" s="1">
        <v>1.0</v>
      </c>
      <c r="D350" s="1">
        <v>0.0909090909090909</v>
      </c>
      <c r="E350" s="1">
        <v>0.0198019801980198</v>
      </c>
    </row>
    <row r="351" ht="15.75" customHeight="1">
      <c r="A351" s="1" t="s">
        <v>1875</v>
      </c>
      <c r="B351" s="1" t="s">
        <v>4479</v>
      </c>
      <c r="C351" s="1">
        <v>1.0</v>
      </c>
      <c r="D351" s="1">
        <v>0.0833333333333333</v>
      </c>
      <c r="E351" s="1">
        <v>0.3125</v>
      </c>
    </row>
    <row r="352" ht="15.75" customHeight="1">
      <c r="A352" s="1" t="s">
        <v>2169</v>
      </c>
      <c r="B352" s="1" t="s">
        <v>4480</v>
      </c>
      <c r="C352" s="1">
        <v>1.0</v>
      </c>
      <c r="D352" s="1">
        <v>0.0769230769230769</v>
      </c>
      <c r="E352" s="1">
        <v>0.619047619047619</v>
      </c>
    </row>
    <row r="353" ht="15.75" customHeight="1">
      <c r="A353" s="1" t="s">
        <v>3294</v>
      </c>
      <c r="B353" s="1" t="s">
        <v>4481</v>
      </c>
      <c r="C353" s="1">
        <v>0.0</v>
      </c>
      <c r="D353" s="1">
        <v>0.0</v>
      </c>
      <c r="E353" s="1">
        <v>0.0</v>
      </c>
    </row>
    <row r="354" ht="15.75" customHeight="1">
      <c r="A354" s="1" t="s">
        <v>1879</v>
      </c>
      <c r="B354" s="1" t="s">
        <v>4482</v>
      </c>
      <c r="C354" s="1">
        <v>0.0</v>
      </c>
      <c r="D354" s="1">
        <v>0.0</v>
      </c>
      <c r="E354" s="1">
        <v>0.0</v>
      </c>
    </row>
    <row r="355" ht="15.75" customHeight="1">
      <c r="A355" s="1" t="s">
        <v>2173</v>
      </c>
      <c r="B355" s="1" t="s">
        <v>4483</v>
      </c>
      <c r="C355" s="1">
        <v>0.0</v>
      </c>
      <c r="D355" s="1">
        <v>0.0</v>
      </c>
      <c r="E355" s="1">
        <v>0.0</v>
      </c>
    </row>
    <row r="356" ht="15.75" customHeight="1">
      <c r="A356" s="1" t="s">
        <v>3298</v>
      </c>
      <c r="B356" s="1" t="s">
        <v>4484</v>
      </c>
      <c r="C356" s="1">
        <v>0.0</v>
      </c>
      <c r="D356" s="1">
        <v>0.0</v>
      </c>
      <c r="E356" s="1">
        <v>0.0</v>
      </c>
    </row>
    <row r="357" ht="15.75" customHeight="1">
      <c r="A357" s="1" t="s">
        <v>3302</v>
      </c>
      <c r="B357" s="1" t="s">
        <v>4485</v>
      </c>
      <c r="C357" s="1">
        <v>0.0</v>
      </c>
      <c r="D357" s="1" t="s">
        <v>4486</v>
      </c>
      <c r="E357" s="1" t="s">
        <v>4486</v>
      </c>
    </row>
    <row r="358" ht="15.75" customHeight="1">
      <c r="A358" s="1" t="s">
        <v>1883</v>
      </c>
      <c r="B358" s="1" t="s">
        <v>4487</v>
      </c>
      <c r="C358" s="1">
        <v>0.0</v>
      </c>
      <c r="D358" s="1">
        <v>0.0</v>
      </c>
      <c r="E358" s="1">
        <v>0.0</v>
      </c>
    </row>
    <row r="359" ht="15.75" customHeight="1">
      <c r="A359" s="1" t="s">
        <v>2650</v>
      </c>
      <c r="B359" s="1" t="s">
        <v>4488</v>
      </c>
      <c r="C359" s="1">
        <v>0.0</v>
      </c>
      <c r="D359" s="1">
        <v>0.0</v>
      </c>
      <c r="E359" s="1">
        <v>0.0</v>
      </c>
    </row>
    <row r="360" ht="15.75" customHeight="1">
      <c r="A360" s="1" t="s">
        <v>2282</v>
      </c>
      <c r="B360" s="1" t="s">
        <v>4489</v>
      </c>
      <c r="C360" s="1">
        <v>0.0</v>
      </c>
      <c r="D360" s="1">
        <v>0.0</v>
      </c>
      <c r="E360" s="1">
        <v>0.0</v>
      </c>
    </row>
    <row r="361" ht="15.75" customHeight="1">
      <c r="A361" s="1" t="s">
        <v>1887</v>
      </c>
      <c r="B361" s="1" t="s">
        <v>4490</v>
      </c>
      <c r="C361" s="1">
        <v>0.0</v>
      </c>
      <c r="D361" s="1">
        <v>0.0</v>
      </c>
      <c r="E361" s="1">
        <v>0.0</v>
      </c>
    </row>
    <row r="362" ht="15.75" customHeight="1">
      <c r="A362" s="1" t="s">
        <v>2286</v>
      </c>
      <c r="B362" s="1" t="s">
        <v>4491</v>
      </c>
      <c r="C362" s="1">
        <v>0.0</v>
      </c>
      <c r="D362" s="1">
        <v>0.0</v>
      </c>
      <c r="E362" s="1">
        <v>0.0</v>
      </c>
    </row>
    <row r="363" ht="15.75" customHeight="1">
      <c r="A363" s="1" t="s">
        <v>1644</v>
      </c>
      <c r="B363" s="1" t="s">
        <v>4492</v>
      </c>
      <c r="C363" s="1">
        <v>0.0</v>
      </c>
      <c r="D363" s="1">
        <v>0.0</v>
      </c>
      <c r="E363" s="1">
        <v>0.0</v>
      </c>
    </row>
    <row r="364" ht="15.75" customHeight="1">
      <c r="A364" s="1" t="s">
        <v>2654</v>
      </c>
      <c r="B364" s="1" t="s">
        <v>4493</v>
      </c>
      <c r="C364" s="1">
        <v>0.0</v>
      </c>
      <c r="D364" s="1">
        <v>0.0</v>
      </c>
      <c r="E364" s="1">
        <v>0.0</v>
      </c>
    </row>
    <row r="365" ht="15.75" customHeight="1">
      <c r="A365" s="1" t="s">
        <v>3306</v>
      </c>
      <c r="B365" s="1" t="s">
        <v>4494</v>
      </c>
      <c r="C365" s="1">
        <v>0.0</v>
      </c>
      <c r="D365" s="1">
        <v>0.0</v>
      </c>
      <c r="E365" s="1">
        <v>0.0</v>
      </c>
    </row>
    <row r="366" ht="15.75" customHeight="1">
      <c r="A366" s="1" t="s">
        <v>1891</v>
      </c>
      <c r="B366" s="1" t="s">
        <v>4495</v>
      </c>
      <c r="C366" s="1">
        <v>0.0</v>
      </c>
      <c r="D366" s="1">
        <v>0.0</v>
      </c>
      <c r="E366" s="1">
        <v>0.0</v>
      </c>
    </row>
    <row r="367" ht="15.75" customHeight="1">
      <c r="A367" s="1" t="s">
        <v>3310</v>
      </c>
      <c r="B367" s="1" t="s">
        <v>4496</v>
      </c>
      <c r="C367" s="1">
        <v>0.0</v>
      </c>
      <c r="D367" s="1">
        <v>0.0</v>
      </c>
      <c r="E367" s="1">
        <v>0.0</v>
      </c>
    </row>
    <row r="368" ht="15.75" customHeight="1">
      <c r="A368" s="1" t="s">
        <v>3314</v>
      </c>
      <c r="B368" s="1" t="s">
        <v>4497</v>
      </c>
      <c r="C368" s="1">
        <v>0.0</v>
      </c>
      <c r="D368" s="1">
        <v>0.0</v>
      </c>
      <c r="E368" s="1">
        <v>0.0</v>
      </c>
    </row>
    <row r="369" ht="15.75" customHeight="1">
      <c r="A369" s="1" t="s">
        <v>3318</v>
      </c>
      <c r="B369" s="1" t="s">
        <v>4498</v>
      </c>
      <c r="C369" s="1">
        <v>0.0</v>
      </c>
      <c r="D369" s="1">
        <v>0.0</v>
      </c>
      <c r="E369" s="1">
        <v>0.0</v>
      </c>
    </row>
    <row r="370" ht="15.75" customHeight="1">
      <c r="A370" s="1" t="s">
        <v>2658</v>
      </c>
      <c r="B370" s="1" t="s">
        <v>4499</v>
      </c>
      <c r="C370" s="1">
        <v>0.0</v>
      </c>
      <c r="D370" s="1">
        <v>0.0</v>
      </c>
      <c r="E370" s="1">
        <v>0.0</v>
      </c>
    </row>
    <row r="371" ht="15.75" customHeight="1">
      <c r="A371" s="1" t="s">
        <v>2662</v>
      </c>
      <c r="B371" s="1" t="s">
        <v>4500</v>
      </c>
      <c r="C371" s="1">
        <v>0.0</v>
      </c>
      <c r="D371" s="1">
        <v>0.0</v>
      </c>
      <c r="E371" s="1">
        <v>0.0</v>
      </c>
    </row>
    <row r="372" ht="15.75" customHeight="1">
      <c r="A372" s="1" t="s">
        <v>2177</v>
      </c>
      <c r="B372" s="1" t="s">
        <v>4501</v>
      </c>
      <c r="C372" s="1">
        <v>0.0</v>
      </c>
      <c r="D372" s="1">
        <v>0.0</v>
      </c>
      <c r="E372" s="1">
        <v>0.0</v>
      </c>
    </row>
    <row r="373" ht="15.75" customHeight="1">
      <c r="A373" s="1" t="s">
        <v>3322</v>
      </c>
      <c r="B373" s="1" t="s">
        <v>4502</v>
      </c>
      <c r="C373" s="1">
        <v>0.0</v>
      </c>
      <c r="D373" s="1">
        <v>0.0</v>
      </c>
      <c r="E373" s="1">
        <v>0.0</v>
      </c>
    </row>
    <row r="374" ht="15.75" customHeight="1">
      <c r="A374" s="1" t="s">
        <v>1895</v>
      </c>
      <c r="B374" s="1" t="s">
        <v>4503</v>
      </c>
      <c r="C374" s="1">
        <v>0.0</v>
      </c>
      <c r="D374" s="1">
        <v>0.0</v>
      </c>
      <c r="E374" s="1">
        <v>0.0</v>
      </c>
    </row>
    <row r="375" ht="15.75" customHeight="1">
      <c r="A375" s="1" t="s">
        <v>2666</v>
      </c>
      <c r="B375" s="1" t="s">
        <v>4504</v>
      </c>
      <c r="C375" s="1">
        <v>0.0</v>
      </c>
      <c r="D375" s="1">
        <v>0.0</v>
      </c>
      <c r="E375" s="1">
        <v>0.0</v>
      </c>
    </row>
    <row r="376" ht="15.75" customHeight="1">
      <c r="A376" s="1" t="s">
        <v>2670</v>
      </c>
      <c r="B376" s="1" t="s">
        <v>4505</v>
      </c>
      <c r="C376" s="1">
        <v>0.0</v>
      </c>
      <c r="D376" s="1">
        <v>0.0</v>
      </c>
      <c r="E376" s="1">
        <v>0.0</v>
      </c>
    </row>
    <row r="377" ht="15.75" customHeight="1">
      <c r="A377" s="1" t="s">
        <v>3326</v>
      </c>
      <c r="B377" s="1" t="s">
        <v>4506</v>
      </c>
      <c r="C377" s="1">
        <v>0.0</v>
      </c>
      <c r="D377" s="1">
        <v>0.0</v>
      </c>
      <c r="E377" s="1">
        <v>0.0</v>
      </c>
    </row>
    <row r="378" ht="15.75" customHeight="1">
      <c r="A378" s="1" t="s">
        <v>2181</v>
      </c>
      <c r="B378" s="1" t="s">
        <v>4507</v>
      </c>
      <c r="C378" s="1">
        <v>0.0</v>
      </c>
      <c r="D378" s="1">
        <v>0.0</v>
      </c>
      <c r="E378" s="1">
        <v>0.0</v>
      </c>
    </row>
    <row r="379" ht="15.75" customHeight="1">
      <c r="A379" s="1" t="s">
        <v>2674</v>
      </c>
      <c r="B379" s="1" t="s">
        <v>4508</v>
      </c>
      <c r="C379" s="1">
        <v>0.0</v>
      </c>
      <c r="D379" s="1">
        <v>0.0</v>
      </c>
      <c r="E379" s="1">
        <v>0.0</v>
      </c>
    </row>
    <row r="380" ht="15.75" customHeight="1">
      <c r="A380" s="1" t="s">
        <v>2678</v>
      </c>
      <c r="B380" s="1" t="s">
        <v>4509</v>
      </c>
      <c r="C380" s="1">
        <v>0.0</v>
      </c>
      <c r="D380" s="1">
        <v>0.0</v>
      </c>
      <c r="E380" s="1">
        <v>0.0</v>
      </c>
    </row>
    <row r="381" ht="15.75" customHeight="1">
      <c r="A381" s="1" t="s">
        <v>2998</v>
      </c>
      <c r="B381" s="1" t="s">
        <v>4510</v>
      </c>
      <c r="C381" s="1">
        <v>0.0</v>
      </c>
      <c r="D381" s="1">
        <v>0.0</v>
      </c>
      <c r="E381" s="1">
        <v>0.0</v>
      </c>
    </row>
    <row r="382" ht="15.75" customHeight="1">
      <c r="A382" s="1" t="s">
        <v>2682</v>
      </c>
      <c r="B382" s="1" t="s">
        <v>4511</v>
      </c>
      <c r="C382" s="1">
        <v>0.0</v>
      </c>
      <c r="D382" s="1">
        <v>0.0</v>
      </c>
      <c r="E382" s="1">
        <v>0.0</v>
      </c>
    </row>
    <row r="383" ht="15.75" customHeight="1">
      <c r="A383" s="1" t="s">
        <v>2185</v>
      </c>
      <c r="B383" s="1" t="s">
        <v>4512</v>
      </c>
      <c r="C383" s="1">
        <v>0.0</v>
      </c>
      <c r="D383" s="1">
        <v>0.0</v>
      </c>
      <c r="E383" s="1">
        <v>0.0</v>
      </c>
    </row>
    <row r="384" ht="15.75" customHeight="1">
      <c r="A384" s="1" t="s">
        <v>3002</v>
      </c>
      <c r="B384" s="1" t="s">
        <v>4513</v>
      </c>
      <c r="C384" s="1">
        <v>0.0</v>
      </c>
      <c r="D384" s="1">
        <v>0.0</v>
      </c>
      <c r="E384" s="1">
        <v>0.0</v>
      </c>
    </row>
    <row r="385" ht="15.75" customHeight="1">
      <c r="A385" s="1" t="s">
        <v>2686</v>
      </c>
      <c r="B385" s="1" t="s">
        <v>4514</v>
      </c>
      <c r="C385" s="1">
        <v>0.0</v>
      </c>
      <c r="D385" s="1">
        <v>0.0</v>
      </c>
      <c r="E385" s="1">
        <v>0.0</v>
      </c>
    </row>
    <row r="386" ht="15.75" customHeight="1">
      <c r="A386" s="1" t="s">
        <v>3006</v>
      </c>
      <c r="B386" s="1" t="s">
        <v>4515</v>
      </c>
      <c r="C386" s="1">
        <v>0.0</v>
      </c>
      <c r="D386" s="1">
        <v>0.0</v>
      </c>
      <c r="E386" s="1">
        <v>0.0</v>
      </c>
    </row>
    <row r="387" ht="15.75" customHeight="1">
      <c r="A387" s="1" t="s">
        <v>3010</v>
      </c>
      <c r="B387" s="1" t="s">
        <v>4516</v>
      </c>
      <c r="C387" s="1">
        <v>0.0</v>
      </c>
      <c r="D387" s="1">
        <v>0.0</v>
      </c>
      <c r="E387" s="1">
        <v>0.0</v>
      </c>
    </row>
    <row r="388" ht="15.75" customHeight="1">
      <c r="A388" s="1" t="s">
        <v>3330</v>
      </c>
      <c r="B388" s="1" t="s">
        <v>4517</v>
      </c>
      <c r="C388" s="1">
        <v>0.0</v>
      </c>
      <c r="D388" s="1">
        <v>0.0</v>
      </c>
      <c r="E388" s="1">
        <v>0.0</v>
      </c>
    </row>
    <row r="389" ht="15.75" customHeight="1">
      <c r="A389" s="1" t="s">
        <v>3014</v>
      </c>
      <c r="B389" s="1" t="s">
        <v>4518</v>
      </c>
      <c r="C389" s="1">
        <v>0.0</v>
      </c>
      <c r="D389" s="1">
        <v>0.0</v>
      </c>
      <c r="E389" s="1">
        <v>0.0</v>
      </c>
    </row>
    <row r="390" ht="15.75" customHeight="1">
      <c r="A390" s="1" t="s">
        <v>3018</v>
      </c>
      <c r="B390" s="1" t="s">
        <v>4519</v>
      </c>
      <c r="C390" s="1">
        <v>0.0</v>
      </c>
      <c r="D390" s="1">
        <v>0.0</v>
      </c>
      <c r="E390" s="1">
        <v>0.0</v>
      </c>
    </row>
    <row r="391" ht="15.75" customHeight="1">
      <c r="A391" s="1" t="s">
        <v>3022</v>
      </c>
      <c r="B391" s="1" t="s">
        <v>4520</v>
      </c>
      <c r="C391" s="1">
        <v>0.0</v>
      </c>
      <c r="D391" s="1">
        <v>0.0</v>
      </c>
      <c r="E391" s="1">
        <v>0.0</v>
      </c>
    </row>
    <row r="392" ht="15.75" customHeight="1">
      <c r="A392" s="1" t="s">
        <v>3026</v>
      </c>
      <c r="B392" s="1" t="s">
        <v>4521</v>
      </c>
      <c r="C392" s="1">
        <v>0.0</v>
      </c>
      <c r="D392" s="1">
        <v>0.0</v>
      </c>
      <c r="E392" s="1">
        <v>0.0</v>
      </c>
    </row>
    <row r="393" ht="15.75" customHeight="1">
      <c r="A393" s="1" t="s">
        <v>2690</v>
      </c>
      <c r="B393" s="1" t="s">
        <v>4522</v>
      </c>
      <c r="C393" s="1">
        <v>0.0</v>
      </c>
      <c r="D393" s="1">
        <v>0.0</v>
      </c>
      <c r="E393" s="1">
        <v>0.0</v>
      </c>
    </row>
    <row r="394" ht="15.75" customHeight="1">
      <c r="A394" s="1" t="s">
        <v>2694</v>
      </c>
      <c r="B394" s="1" t="s">
        <v>4523</v>
      </c>
      <c r="C394" s="1">
        <v>0.0</v>
      </c>
      <c r="D394" s="1">
        <v>0.0</v>
      </c>
      <c r="E394" s="1">
        <v>0.0</v>
      </c>
    </row>
    <row r="395" ht="15.75" customHeight="1">
      <c r="A395" s="1" t="s">
        <v>3334</v>
      </c>
      <c r="B395" s="1" t="s">
        <v>4524</v>
      </c>
      <c r="C395" s="1">
        <v>0.0</v>
      </c>
      <c r="D395" s="1">
        <v>0.0</v>
      </c>
      <c r="E395" s="1">
        <v>0.0</v>
      </c>
    </row>
    <row r="396" ht="15.75" customHeight="1">
      <c r="A396" s="1" t="s">
        <v>2698</v>
      </c>
      <c r="B396" s="1" t="s">
        <v>4525</v>
      </c>
      <c r="C396" s="1">
        <v>0.0</v>
      </c>
      <c r="D396" s="1">
        <v>0.0</v>
      </c>
      <c r="E396" s="1">
        <v>0.0</v>
      </c>
    </row>
    <row r="397" ht="15.75" customHeight="1">
      <c r="A397" s="1" t="s">
        <v>2702</v>
      </c>
      <c r="B397" s="1" t="s">
        <v>4526</v>
      </c>
      <c r="C397" s="1">
        <v>0.0</v>
      </c>
      <c r="D397" s="1">
        <v>0.0</v>
      </c>
      <c r="E397" s="1">
        <v>0.0</v>
      </c>
    </row>
    <row r="398" ht="15.75" customHeight="1">
      <c r="A398" s="1" t="s">
        <v>1899</v>
      </c>
      <c r="B398" s="1" t="s">
        <v>4527</v>
      </c>
      <c r="C398" s="1">
        <v>0.0</v>
      </c>
      <c r="D398" s="1">
        <v>0.0</v>
      </c>
      <c r="E398" s="1">
        <v>0.0</v>
      </c>
    </row>
    <row r="399" ht="15.75" customHeight="1">
      <c r="A399" s="1" t="s">
        <v>3338</v>
      </c>
      <c r="B399" s="1" t="s">
        <v>4528</v>
      </c>
      <c r="C399" s="1">
        <v>0.0</v>
      </c>
      <c r="D399" s="1">
        <v>0.0</v>
      </c>
      <c r="E399" s="1">
        <v>0.0</v>
      </c>
    </row>
    <row r="400" ht="15.75" customHeight="1">
      <c r="A400" s="1" t="s">
        <v>3342</v>
      </c>
      <c r="B400" s="1" t="s">
        <v>4529</v>
      </c>
      <c r="C400" s="1">
        <v>0.0</v>
      </c>
      <c r="D400" s="1">
        <v>0.0</v>
      </c>
      <c r="E400" s="1">
        <v>0.0</v>
      </c>
    </row>
    <row r="401" ht="15.75" customHeight="1">
      <c r="A401" s="1" t="s">
        <v>3346</v>
      </c>
      <c r="B401" s="1" t="s">
        <v>4530</v>
      </c>
      <c r="C401" s="1">
        <v>0.0</v>
      </c>
      <c r="D401" s="1">
        <v>0.0</v>
      </c>
      <c r="E401" s="1">
        <v>0.0</v>
      </c>
    </row>
    <row r="402" ht="15.75" customHeight="1">
      <c r="A402" s="1" t="s">
        <v>3350</v>
      </c>
      <c r="B402" s="1" t="s">
        <v>4531</v>
      </c>
      <c r="C402" s="1">
        <v>0.0</v>
      </c>
      <c r="D402" s="1">
        <v>0.0</v>
      </c>
      <c r="E402" s="1">
        <v>0.0</v>
      </c>
    </row>
    <row r="403" ht="15.75" customHeight="1">
      <c r="A403" s="1" t="s">
        <v>3354</v>
      </c>
      <c r="B403" s="1" t="s">
        <v>4532</v>
      </c>
      <c r="C403" s="1">
        <v>0.0</v>
      </c>
      <c r="D403" s="1">
        <v>0.0</v>
      </c>
      <c r="E403" s="1">
        <v>0.0</v>
      </c>
    </row>
    <row r="404" ht="15.75" customHeight="1">
      <c r="A404" s="1" t="s">
        <v>2706</v>
      </c>
      <c r="B404" s="1" t="s">
        <v>4533</v>
      </c>
      <c r="C404" s="1">
        <v>0.0</v>
      </c>
      <c r="D404" s="1">
        <v>0.0</v>
      </c>
      <c r="E404" s="1">
        <v>0.0</v>
      </c>
    </row>
    <row r="405" ht="15.75" customHeight="1">
      <c r="A405" s="1" t="s">
        <v>3358</v>
      </c>
      <c r="B405" s="1" t="s">
        <v>4534</v>
      </c>
      <c r="C405" s="1">
        <v>0.0</v>
      </c>
      <c r="D405" s="1">
        <v>0.0</v>
      </c>
      <c r="E405" s="1">
        <v>0.0</v>
      </c>
    </row>
    <row r="406" ht="15.75" customHeight="1">
      <c r="A406" s="1" t="s">
        <v>3362</v>
      </c>
      <c r="B406" s="1" t="s">
        <v>4535</v>
      </c>
      <c r="C406" s="1">
        <v>0.0</v>
      </c>
      <c r="D406" s="1">
        <v>0.0</v>
      </c>
      <c r="E406" s="1">
        <v>0.0</v>
      </c>
    </row>
    <row r="407" ht="15.75" customHeight="1">
      <c r="A407" s="1" t="s">
        <v>1903</v>
      </c>
      <c r="B407" s="1" t="s">
        <v>4536</v>
      </c>
      <c r="C407" s="1">
        <v>0.0</v>
      </c>
      <c r="D407" s="1">
        <v>0.0</v>
      </c>
      <c r="E407" s="1">
        <v>0.0</v>
      </c>
    </row>
    <row r="408" ht="15.75" customHeight="1">
      <c r="A408" s="1" t="s">
        <v>2710</v>
      </c>
      <c r="B408" s="1" t="s">
        <v>4537</v>
      </c>
      <c r="C408" s="1">
        <v>0.0</v>
      </c>
      <c r="D408" s="1">
        <v>0.0</v>
      </c>
      <c r="E408" s="1">
        <v>0.0</v>
      </c>
    </row>
    <row r="409" ht="15.75" customHeight="1">
      <c r="A409" s="1" t="s">
        <v>3030</v>
      </c>
      <c r="B409" s="1" t="s">
        <v>4538</v>
      </c>
      <c r="C409" s="1">
        <v>0.0</v>
      </c>
      <c r="D409" s="1">
        <v>0.0</v>
      </c>
      <c r="E409" s="1">
        <v>0.0</v>
      </c>
    </row>
    <row r="410" ht="15.75" customHeight="1">
      <c r="A410" s="1" t="s">
        <v>1907</v>
      </c>
      <c r="B410" s="1" t="s">
        <v>4539</v>
      </c>
      <c r="C410" s="1">
        <v>0.0</v>
      </c>
      <c r="D410" s="1">
        <v>0.0</v>
      </c>
      <c r="E410" s="1">
        <v>0.0</v>
      </c>
    </row>
    <row r="411" ht="15.75" customHeight="1">
      <c r="A411" s="1" t="s">
        <v>1911</v>
      </c>
      <c r="B411" s="1" t="s">
        <v>4540</v>
      </c>
      <c r="C411" s="1">
        <v>0.0</v>
      </c>
      <c r="D411" s="1">
        <v>0.0</v>
      </c>
      <c r="E411" s="1">
        <v>0.0</v>
      </c>
    </row>
    <row r="412" ht="15.75" customHeight="1">
      <c r="A412" s="1" t="s">
        <v>2750</v>
      </c>
      <c r="B412" s="1" t="s">
        <v>4541</v>
      </c>
      <c r="C412" s="1">
        <v>0.0</v>
      </c>
      <c r="D412" s="1">
        <v>0.0</v>
      </c>
      <c r="E412" s="1">
        <v>0.0</v>
      </c>
    </row>
    <row r="413" ht="15.75" customHeight="1">
      <c r="A413" s="1" t="s">
        <v>3366</v>
      </c>
      <c r="B413" s="1" t="s">
        <v>4542</v>
      </c>
      <c r="C413" s="1">
        <v>0.0</v>
      </c>
      <c r="D413" s="1">
        <v>0.0</v>
      </c>
      <c r="E413" s="1">
        <v>0.0</v>
      </c>
    </row>
    <row r="414" ht="15.75" customHeight="1">
      <c r="A414" s="1" t="s">
        <v>3034</v>
      </c>
      <c r="B414" s="1" t="s">
        <v>4543</v>
      </c>
      <c r="C414" s="1">
        <v>0.0</v>
      </c>
      <c r="D414" s="1">
        <v>0.0</v>
      </c>
      <c r="E414" s="1">
        <v>0.0</v>
      </c>
    </row>
    <row r="415" ht="15.75" customHeight="1">
      <c r="A415" s="1" t="s">
        <v>2189</v>
      </c>
      <c r="B415" s="1" t="s">
        <v>4544</v>
      </c>
      <c r="C415" s="1">
        <v>0.0</v>
      </c>
      <c r="D415" s="1">
        <v>0.0</v>
      </c>
      <c r="E415" s="1">
        <v>0.0</v>
      </c>
    </row>
    <row r="416" ht="15.75" customHeight="1">
      <c r="A416" s="1" t="s">
        <v>2714</v>
      </c>
      <c r="B416" s="1" t="s">
        <v>4545</v>
      </c>
      <c r="C416" s="1">
        <v>0.0</v>
      </c>
      <c r="D416" s="1">
        <v>0.0</v>
      </c>
      <c r="E416" s="1">
        <v>0.0</v>
      </c>
    </row>
    <row r="417" ht="15.75" customHeight="1">
      <c r="A417" s="1" t="s">
        <v>3038</v>
      </c>
      <c r="B417" s="1" t="s">
        <v>4546</v>
      </c>
      <c r="C417" s="1">
        <v>0.0</v>
      </c>
      <c r="D417" s="1">
        <v>0.0</v>
      </c>
      <c r="E417" s="1">
        <v>0.0</v>
      </c>
    </row>
    <row r="418" ht="15.75" customHeight="1">
      <c r="A418" s="1" t="s">
        <v>1915</v>
      </c>
      <c r="B418" s="1" t="s">
        <v>4547</v>
      </c>
      <c r="C418" s="1">
        <v>0.0</v>
      </c>
      <c r="D418" s="1">
        <v>0.0</v>
      </c>
      <c r="E418" s="1">
        <v>0.0</v>
      </c>
    </row>
    <row r="419" ht="15.75" customHeight="1">
      <c r="A419" s="1" t="s">
        <v>2718</v>
      </c>
      <c r="B419" s="1" t="s">
        <v>4548</v>
      </c>
      <c r="C419" s="1">
        <v>0.0</v>
      </c>
      <c r="D419" s="1">
        <v>0.0</v>
      </c>
      <c r="E419" s="1">
        <v>0.0</v>
      </c>
    </row>
    <row r="420" ht="15.75" customHeight="1">
      <c r="A420" s="1" t="s">
        <v>3042</v>
      </c>
      <c r="B420" s="1" t="s">
        <v>4549</v>
      </c>
      <c r="C420" s="1">
        <v>0.0</v>
      </c>
      <c r="D420" s="1">
        <v>0.0</v>
      </c>
      <c r="E420" s="1">
        <v>0.0</v>
      </c>
    </row>
    <row r="421" ht="15.75" customHeight="1">
      <c r="A421" s="1" t="s">
        <v>3370</v>
      </c>
      <c r="B421" s="1" t="s">
        <v>4550</v>
      </c>
      <c r="C421" s="1">
        <v>0.0</v>
      </c>
      <c r="D421" s="1">
        <v>0.0</v>
      </c>
      <c r="E421" s="1">
        <v>0.0</v>
      </c>
    </row>
    <row r="422" ht="15.75" customHeight="1">
      <c r="A422" s="1" t="s">
        <v>3046</v>
      </c>
      <c r="B422" s="1" t="s">
        <v>4551</v>
      </c>
      <c r="C422" s="1">
        <v>0.0</v>
      </c>
      <c r="D422" s="1">
        <v>0.0</v>
      </c>
      <c r="E422" s="1">
        <v>0.0</v>
      </c>
    </row>
    <row r="423" ht="15.75" customHeight="1">
      <c r="A423" s="1" t="s">
        <v>2193</v>
      </c>
      <c r="B423" s="1" t="s">
        <v>4552</v>
      </c>
      <c r="C423" s="1">
        <v>0.0</v>
      </c>
      <c r="D423" s="1">
        <v>0.0</v>
      </c>
      <c r="E423" s="1">
        <v>0.0</v>
      </c>
    </row>
    <row r="424" ht="15.75" customHeight="1">
      <c r="A424" s="1" t="s">
        <v>3050</v>
      </c>
      <c r="B424" s="1" t="s">
        <v>4553</v>
      </c>
      <c r="C424" s="1">
        <v>0.0</v>
      </c>
      <c r="D424" s="1">
        <v>0.0</v>
      </c>
      <c r="E424" s="1">
        <v>0.0</v>
      </c>
    </row>
    <row r="425" ht="15.75" customHeight="1">
      <c r="A425" s="1" t="s">
        <v>1919</v>
      </c>
      <c r="B425" s="1" t="s">
        <v>4554</v>
      </c>
      <c r="C425" s="1">
        <v>0.0</v>
      </c>
      <c r="D425" s="1">
        <v>0.0</v>
      </c>
      <c r="E425" s="1">
        <v>0.0</v>
      </c>
    </row>
    <row r="426" ht="15.75" customHeight="1">
      <c r="A426" s="1" t="s">
        <v>3374</v>
      </c>
      <c r="B426" s="1" t="s">
        <v>4555</v>
      </c>
      <c r="C426" s="1">
        <v>0.0</v>
      </c>
      <c r="D426" s="1">
        <v>0.0</v>
      </c>
      <c r="E426" s="1">
        <v>0.0</v>
      </c>
    </row>
    <row r="427" ht="15.75" customHeight="1">
      <c r="A427" s="1" t="s">
        <v>2197</v>
      </c>
      <c r="B427" s="1" t="s">
        <v>4556</v>
      </c>
      <c r="C427" s="1">
        <v>0.0</v>
      </c>
      <c r="D427" s="1">
        <v>0.0</v>
      </c>
      <c r="E427" s="1">
        <v>0.0</v>
      </c>
    </row>
    <row r="428" ht="15.75" customHeight="1">
      <c r="A428" s="1" t="s">
        <v>3378</v>
      </c>
      <c r="B428" s="1" t="s">
        <v>4557</v>
      </c>
      <c r="C428" s="1">
        <v>0.0</v>
      </c>
      <c r="D428" s="1">
        <v>0.0</v>
      </c>
      <c r="E428" s="1">
        <v>0.0</v>
      </c>
    </row>
    <row r="429" ht="15.75" customHeight="1">
      <c r="A429" s="1" t="s">
        <v>2201</v>
      </c>
      <c r="B429" s="1" t="s">
        <v>4558</v>
      </c>
      <c r="C429" s="1">
        <v>0.0</v>
      </c>
      <c r="D429" s="1">
        <v>0.0</v>
      </c>
      <c r="E429" s="1">
        <v>0.0</v>
      </c>
    </row>
    <row r="430" ht="15.75" customHeight="1">
      <c r="A430" s="1" t="s">
        <v>2290</v>
      </c>
      <c r="B430" s="1" t="s">
        <v>4559</v>
      </c>
      <c r="C430" s="1">
        <v>0.0</v>
      </c>
      <c r="D430" s="1">
        <v>0.0</v>
      </c>
      <c r="E430" s="1">
        <v>0.0</v>
      </c>
    </row>
    <row r="431" ht="15.75" customHeight="1">
      <c r="A431" s="1" t="s">
        <v>3382</v>
      </c>
      <c r="B431" s="1" t="s">
        <v>4560</v>
      </c>
      <c r="C431" s="1">
        <v>0.0</v>
      </c>
      <c r="D431" s="1">
        <v>0.0</v>
      </c>
      <c r="E431" s="1">
        <v>0.0</v>
      </c>
    </row>
    <row r="432" ht="15.75" customHeight="1">
      <c r="A432" s="1" t="s">
        <v>2294</v>
      </c>
      <c r="B432" s="1" t="s">
        <v>4561</v>
      </c>
      <c r="C432" s="1">
        <v>0.0</v>
      </c>
      <c r="D432" s="1">
        <v>0.0</v>
      </c>
      <c r="E432" s="1">
        <v>0.0</v>
      </c>
    </row>
    <row r="433" ht="15.75" customHeight="1">
      <c r="A433" s="1" t="s">
        <v>1923</v>
      </c>
      <c r="B433" s="1" t="s">
        <v>4562</v>
      </c>
      <c r="C433" s="1">
        <v>0.0</v>
      </c>
      <c r="D433" s="1">
        <v>0.0</v>
      </c>
      <c r="E433" s="1">
        <v>0.0</v>
      </c>
    </row>
    <row r="434" ht="15.75" customHeight="1">
      <c r="A434" s="1" t="s">
        <v>1927</v>
      </c>
      <c r="B434" s="1" t="s">
        <v>4563</v>
      </c>
      <c r="C434" s="1">
        <v>0.0</v>
      </c>
      <c r="D434" s="1">
        <v>0.0</v>
      </c>
      <c r="E434" s="1">
        <v>0.0</v>
      </c>
    </row>
    <row r="435" ht="15.75" customHeight="1">
      <c r="A435" s="1" t="s">
        <v>2722</v>
      </c>
      <c r="B435" s="1" t="s">
        <v>4564</v>
      </c>
      <c r="C435" s="1">
        <v>0.0</v>
      </c>
      <c r="D435" s="1">
        <v>0.0</v>
      </c>
      <c r="E435" s="1">
        <v>0.0</v>
      </c>
    </row>
    <row r="436" ht="15.75" customHeight="1">
      <c r="A436" s="1" t="s">
        <v>3386</v>
      </c>
      <c r="B436" s="1" t="s">
        <v>4565</v>
      </c>
      <c r="C436" s="1">
        <v>0.0</v>
      </c>
      <c r="D436" s="1">
        <v>0.0</v>
      </c>
      <c r="E436" s="1">
        <v>0.0</v>
      </c>
    </row>
    <row r="437" ht="15.75" customHeight="1">
      <c r="A437" s="1" t="s">
        <v>2205</v>
      </c>
      <c r="B437" s="1" t="s">
        <v>4566</v>
      </c>
      <c r="C437" s="1">
        <v>0.0</v>
      </c>
      <c r="D437" s="1">
        <v>0.0</v>
      </c>
      <c r="E437" s="1">
        <v>0.0</v>
      </c>
    </row>
    <row r="438" ht="15.75" customHeight="1">
      <c r="A438" s="1" t="s">
        <v>3390</v>
      </c>
      <c r="B438" s="1" t="s">
        <v>4567</v>
      </c>
      <c r="C438" s="1">
        <v>0.0</v>
      </c>
      <c r="D438" s="1">
        <v>0.0</v>
      </c>
      <c r="E438" s="1">
        <v>0.0</v>
      </c>
    </row>
    <row r="439" ht="15.75" customHeight="1">
      <c r="A439" s="1" t="s">
        <v>3394</v>
      </c>
      <c r="B439" s="1" t="s">
        <v>4568</v>
      </c>
      <c r="C439" s="1">
        <v>0.0</v>
      </c>
      <c r="D439" s="1">
        <v>0.0</v>
      </c>
      <c r="E439" s="1">
        <v>0.0</v>
      </c>
    </row>
    <row r="440" ht="15.75" customHeight="1">
      <c r="A440" s="1" t="s">
        <v>3398</v>
      </c>
      <c r="B440" s="1" t="s">
        <v>4569</v>
      </c>
      <c r="C440" s="1">
        <v>0.0</v>
      </c>
      <c r="D440" s="1">
        <v>0.0</v>
      </c>
      <c r="E440" s="1">
        <v>0.0</v>
      </c>
    </row>
    <row r="441" ht="15.75" customHeight="1">
      <c r="A441" s="1" t="s">
        <v>2209</v>
      </c>
      <c r="B441" s="1" t="s">
        <v>4570</v>
      </c>
      <c r="C441" s="1">
        <v>0.0</v>
      </c>
      <c r="D441" s="1">
        <v>0.0</v>
      </c>
      <c r="E441" s="1">
        <v>0.0</v>
      </c>
    </row>
    <row r="442" ht="15.75" customHeight="1">
      <c r="A442" s="1" t="s">
        <v>2213</v>
      </c>
      <c r="B442" s="1" t="s">
        <v>4571</v>
      </c>
      <c r="C442" s="1">
        <v>0.0</v>
      </c>
      <c r="D442" s="1">
        <v>0.0</v>
      </c>
      <c r="E442" s="1">
        <v>0.0</v>
      </c>
    </row>
    <row r="443" ht="15.75" customHeight="1">
      <c r="A443" s="1" t="s">
        <v>2217</v>
      </c>
      <c r="B443" s="1" t="s">
        <v>4572</v>
      </c>
      <c r="C443" s="1">
        <v>0.0</v>
      </c>
      <c r="D443" s="1">
        <v>0.0</v>
      </c>
      <c r="E443" s="1">
        <v>0.0</v>
      </c>
    </row>
    <row r="444" ht="15.75" customHeight="1">
      <c r="A444" s="1" t="s">
        <v>3402</v>
      </c>
      <c r="B444" s="1" t="s">
        <v>4573</v>
      </c>
      <c r="C444" s="1">
        <v>0.0</v>
      </c>
      <c r="D444" s="1">
        <v>0.0</v>
      </c>
      <c r="E444" s="1">
        <v>0.0</v>
      </c>
    </row>
    <row r="445" ht="15.75" customHeight="1">
      <c r="A445" s="1" t="s">
        <v>3406</v>
      </c>
      <c r="B445" s="1" t="s">
        <v>4574</v>
      </c>
      <c r="C445" s="1">
        <v>0.0</v>
      </c>
      <c r="D445" s="1">
        <v>0.0</v>
      </c>
      <c r="E445" s="1">
        <v>0.0</v>
      </c>
    </row>
    <row r="446" ht="15.75" customHeight="1">
      <c r="A446" s="1" t="s">
        <v>2221</v>
      </c>
      <c r="B446" s="1" t="s">
        <v>4575</v>
      </c>
      <c r="C446" s="1">
        <v>0.0</v>
      </c>
      <c r="D446" s="1">
        <v>0.0</v>
      </c>
      <c r="E446" s="1">
        <v>0.0</v>
      </c>
    </row>
    <row r="447" ht="15.75" customHeight="1">
      <c r="A447" s="1" t="s">
        <v>3410</v>
      </c>
      <c r="B447" s="1" t="s">
        <v>4576</v>
      </c>
      <c r="C447" s="1">
        <v>0.0</v>
      </c>
      <c r="D447" s="1">
        <v>0.0</v>
      </c>
      <c r="E447" s="1">
        <v>0.0</v>
      </c>
    </row>
    <row r="448" ht="15.75" customHeight="1">
      <c r="A448" s="1" t="s">
        <v>3054</v>
      </c>
      <c r="B448" s="1" t="s">
        <v>4577</v>
      </c>
      <c r="C448" s="1">
        <v>0.0</v>
      </c>
      <c r="D448" s="1">
        <v>0.0</v>
      </c>
      <c r="E448" s="1">
        <v>0.0</v>
      </c>
    </row>
    <row r="449" ht="15.75" customHeight="1">
      <c r="A449" s="1" t="s">
        <v>2225</v>
      </c>
      <c r="B449" s="1" t="s">
        <v>4578</v>
      </c>
      <c r="C449" s="1">
        <v>0.0</v>
      </c>
      <c r="D449" s="1">
        <v>0.0</v>
      </c>
      <c r="E449" s="1">
        <v>0.0</v>
      </c>
    </row>
    <row r="450" ht="15.75" customHeight="1">
      <c r="A450" s="1" t="s">
        <v>3414</v>
      </c>
      <c r="B450" s="1" t="s">
        <v>4579</v>
      </c>
      <c r="C450" s="1">
        <v>0.0</v>
      </c>
      <c r="D450" s="1">
        <v>0.0</v>
      </c>
      <c r="E450" s="1">
        <v>0.0</v>
      </c>
    </row>
    <row r="451" ht="15.75" customHeight="1">
      <c r="A451" s="1" t="s">
        <v>3058</v>
      </c>
      <c r="B451" s="1" t="s">
        <v>4580</v>
      </c>
      <c r="C451" s="1">
        <v>0.0</v>
      </c>
      <c r="D451" s="1">
        <v>0.0</v>
      </c>
      <c r="E451" s="1">
        <v>0.0</v>
      </c>
    </row>
    <row r="452" ht="15.75" customHeight="1">
      <c r="A452" s="1" t="s">
        <v>3418</v>
      </c>
      <c r="B452" s="1" t="s">
        <v>4581</v>
      </c>
      <c r="C452" s="1">
        <v>0.0</v>
      </c>
      <c r="D452" s="1">
        <v>0.0</v>
      </c>
      <c r="E452" s="1">
        <v>0.0</v>
      </c>
    </row>
    <row r="453" ht="15.75" customHeight="1">
      <c r="A453" s="1" t="s">
        <v>3422</v>
      </c>
      <c r="B453" s="1" t="s">
        <v>4582</v>
      </c>
      <c r="C453" s="1">
        <v>0.0</v>
      </c>
      <c r="D453" s="1">
        <v>0.0</v>
      </c>
      <c r="E453" s="1">
        <v>0.0</v>
      </c>
    </row>
    <row r="454" ht="15.75" customHeight="1">
      <c r="A454" s="1" t="s">
        <v>3425</v>
      </c>
      <c r="B454" s="1" t="s">
        <v>4583</v>
      </c>
      <c r="C454" s="1">
        <v>0.0</v>
      </c>
      <c r="D454" s="1">
        <v>0.0</v>
      </c>
      <c r="E454" s="1">
        <v>0.0</v>
      </c>
    </row>
    <row r="455" ht="15.75" customHeight="1">
      <c r="A455" s="1" t="s">
        <v>3429</v>
      </c>
      <c r="B455" s="1" t="s">
        <v>4584</v>
      </c>
      <c r="C455" s="1">
        <v>0.0</v>
      </c>
      <c r="D455" s="1">
        <v>0.0</v>
      </c>
      <c r="E455" s="1">
        <v>0.0</v>
      </c>
    </row>
    <row r="456" ht="15.75" customHeight="1">
      <c r="A456" s="1" t="s">
        <v>3062</v>
      </c>
      <c r="B456" s="1" t="s">
        <v>4585</v>
      </c>
      <c r="C456" s="1">
        <v>0.0</v>
      </c>
      <c r="D456" s="1">
        <v>0.0</v>
      </c>
      <c r="E456" s="1">
        <v>0.0</v>
      </c>
    </row>
    <row r="457" ht="15.75" customHeight="1">
      <c r="A457" s="1" t="s">
        <v>1931</v>
      </c>
      <c r="B457" s="1" t="s">
        <v>4586</v>
      </c>
      <c r="C457" s="1">
        <v>0.0</v>
      </c>
      <c r="D457" s="1">
        <v>0.0</v>
      </c>
      <c r="E457" s="1">
        <v>0.0</v>
      </c>
    </row>
    <row r="458" ht="15.75" customHeight="1">
      <c r="A458" s="1" t="s">
        <v>3066</v>
      </c>
      <c r="B458" s="1" t="s">
        <v>4587</v>
      </c>
      <c r="C458" s="1">
        <v>0.0</v>
      </c>
      <c r="D458" s="1">
        <v>0.0</v>
      </c>
      <c r="E458" s="1">
        <v>0.0</v>
      </c>
    </row>
    <row r="459" ht="15.75" customHeight="1">
      <c r="A459" s="1" t="s">
        <v>2298</v>
      </c>
      <c r="B459" s="1" t="s">
        <v>4588</v>
      </c>
      <c r="C459" s="1">
        <v>0.0</v>
      </c>
      <c r="D459" s="1">
        <v>0.0</v>
      </c>
      <c r="E459" s="1">
        <v>0.0</v>
      </c>
    </row>
    <row r="460" ht="15.75" customHeight="1">
      <c r="A460" s="1" t="s">
        <v>2301</v>
      </c>
      <c r="B460" s="1" t="s">
        <v>4589</v>
      </c>
      <c r="C460" s="1">
        <v>0.0</v>
      </c>
      <c r="D460" s="1">
        <v>0.0</v>
      </c>
      <c r="E460" s="1">
        <v>0.0</v>
      </c>
    </row>
    <row r="461" ht="15.75" customHeight="1">
      <c r="A461" s="1" t="s">
        <v>2229</v>
      </c>
      <c r="B461" s="1" t="s">
        <v>4590</v>
      </c>
      <c r="C461" s="1">
        <v>0.0</v>
      </c>
      <c r="D461" s="1">
        <v>0.0</v>
      </c>
      <c r="E461" s="1">
        <v>0.0</v>
      </c>
    </row>
    <row r="462" ht="15.75" customHeight="1">
      <c r="A462" s="1" t="s">
        <v>3433</v>
      </c>
      <c r="B462" s="1" t="s">
        <v>4591</v>
      </c>
      <c r="C462" s="1">
        <v>0.0</v>
      </c>
      <c r="D462" s="1">
        <v>0.0</v>
      </c>
      <c r="E462" s="1">
        <v>0.0</v>
      </c>
    </row>
    <row r="463" ht="15.75" customHeight="1">
      <c r="A463" s="1" t="s">
        <v>1935</v>
      </c>
      <c r="B463" s="1" t="s">
        <v>4592</v>
      </c>
      <c r="C463" s="1">
        <v>0.0</v>
      </c>
      <c r="D463" s="1">
        <v>0.0</v>
      </c>
      <c r="E463" s="1">
        <v>0.0</v>
      </c>
    </row>
    <row r="464" ht="15.75" customHeight="1">
      <c r="A464" s="1" t="s">
        <v>2233</v>
      </c>
      <c r="B464" s="1" t="s">
        <v>4593</v>
      </c>
      <c r="C464" s="1">
        <v>0.0</v>
      </c>
      <c r="D464" s="1">
        <v>0.0</v>
      </c>
      <c r="E464" s="1">
        <v>0.0</v>
      </c>
    </row>
    <row r="465" ht="15.75" customHeight="1">
      <c r="A465" s="1" t="s">
        <v>2305</v>
      </c>
      <c r="B465" s="1" t="s">
        <v>4594</v>
      </c>
      <c r="C465" s="1">
        <v>0.0</v>
      </c>
      <c r="D465" s="1">
        <v>0.0</v>
      </c>
      <c r="E465" s="1">
        <v>0.0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6" t="s">
        <v>4595</v>
      </c>
      <c r="B1" s="16" t="s">
        <v>4596</v>
      </c>
      <c r="C1" s="16" t="s">
        <v>4597</v>
      </c>
    </row>
    <row r="2">
      <c r="A2" s="17" t="s">
        <v>4062</v>
      </c>
      <c r="B2" s="17" t="s">
        <v>4075</v>
      </c>
      <c r="C2" s="17">
        <v>4.0</v>
      </c>
    </row>
    <row r="3">
      <c r="A3" s="18" t="s">
        <v>4067</v>
      </c>
      <c r="B3" s="18" t="s">
        <v>4074</v>
      </c>
      <c r="C3" s="18">
        <v>3.0</v>
      </c>
    </row>
    <row r="4">
      <c r="A4" s="17" t="s">
        <v>4067</v>
      </c>
      <c r="B4" s="17" t="s">
        <v>4088</v>
      </c>
      <c r="C4" s="17">
        <v>3.0</v>
      </c>
    </row>
    <row r="5">
      <c r="A5" s="18" t="s">
        <v>4077</v>
      </c>
      <c r="B5" s="18" t="s">
        <v>4094</v>
      </c>
      <c r="C5" s="18">
        <v>3.0</v>
      </c>
    </row>
    <row r="6">
      <c r="A6" s="17" t="s">
        <v>4064</v>
      </c>
      <c r="B6" s="17" t="s">
        <v>4075</v>
      </c>
      <c r="C6" s="17">
        <v>3.0</v>
      </c>
    </row>
    <row r="7">
      <c r="A7" s="18" t="s">
        <v>4064</v>
      </c>
      <c r="B7" s="18" t="s">
        <v>4076</v>
      </c>
      <c r="C7" s="18">
        <v>3.0</v>
      </c>
    </row>
    <row r="8">
      <c r="A8" s="17" t="s">
        <v>4064</v>
      </c>
      <c r="B8" s="17" t="s">
        <v>4065</v>
      </c>
      <c r="C8" s="17">
        <v>3.0</v>
      </c>
    </row>
    <row r="9">
      <c r="A9" s="18" t="s">
        <v>4063</v>
      </c>
      <c r="B9" s="18" t="s">
        <v>4062</v>
      </c>
      <c r="C9" s="18">
        <v>2.0</v>
      </c>
    </row>
    <row r="10">
      <c r="A10" s="17" t="s">
        <v>4063</v>
      </c>
      <c r="B10" s="17" t="s">
        <v>4064</v>
      </c>
      <c r="C10" s="17">
        <v>2.0</v>
      </c>
    </row>
    <row r="11">
      <c r="A11" s="18" t="s">
        <v>4072</v>
      </c>
      <c r="B11" s="18" t="s">
        <v>4113</v>
      </c>
      <c r="C11" s="18">
        <v>2.0</v>
      </c>
    </row>
    <row r="12">
      <c r="A12" s="17" t="s">
        <v>4060</v>
      </c>
      <c r="B12" s="17" t="s">
        <v>4121</v>
      </c>
      <c r="C12" s="17">
        <v>2.0</v>
      </c>
    </row>
    <row r="13">
      <c r="A13" s="18" t="s">
        <v>4067</v>
      </c>
      <c r="B13" s="18" t="s">
        <v>4073</v>
      </c>
      <c r="C13" s="18">
        <v>2.0</v>
      </c>
    </row>
    <row r="14">
      <c r="A14" s="17" t="s">
        <v>4079</v>
      </c>
      <c r="B14" s="17" t="s">
        <v>4085</v>
      </c>
      <c r="C14" s="17">
        <v>2.0</v>
      </c>
    </row>
    <row r="15">
      <c r="A15" s="18" t="s">
        <v>4073</v>
      </c>
      <c r="B15" s="18" t="s">
        <v>4088</v>
      </c>
      <c r="C15" s="18">
        <v>2.0</v>
      </c>
    </row>
    <row r="16">
      <c r="A16" s="17" t="s">
        <v>4062</v>
      </c>
      <c r="B16" s="17" t="s">
        <v>4079</v>
      </c>
      <c r="C16" s="17">
        <v>2.0</v>
      </c>
    </row>
    <row r="17">
      <c r="A17" s="18" t="s">
        <v>4064</v>
      </c>
      <c r="B17" s="18" t="s">
        <v>4095</v>
      </c>
      <c r="C17" s="18">
        <v>2.0</v>
      </c>
    </row>
    <row r="18">
      <c r="A18" s="17" t="s">
        <v>4064</v>
      </c>
      <c r="B18" s="17" t="s">
        <v>4077</v>
      </c>
      <c r="C18" s="17">
        <v>2.0</v>
      </c>
    </row>
    <row r="19">
      <c r="A19" s="18" t="s">
        <v>4080</v>
      </c>
      <c r="B19" s="18" t="s">
        <v>4071</v>
      </c>
      <c r="C19" s="18">
        <v>1.0</v>
      </c>
    </row>
    <row r="20">
      <c r="A20" s="17" t="s">
        <v>4069</v>
      </c>
      <c r="B20" s="17" t="s">
        <v>4095</v>
      </c>
      <c r="C20" s="17">
        <v>1.0</v>
      </c>
    </row>
    <row r="21" ht="15.75" customHeight="1">
      <c r="A21" s="18" t="s">
        <v>4069</v>
      </c>
      <c r="B21" s="18" t="s">
        <v>4083</v>
      </c>
      <c r="C21" s="18">
        <v>1.0</v>
      </c>
    </row>
    <row r="22" ht="15.75" customHeight="1">
      <c r="A22" s="17" t="s">
        <v>4069</v>
      </c>
      <c r="B22" s="17" t="s">
        <v>4076</v>
      </c>
      <c r="C22" s="17">
        <v>1.0</v>
      </c>
    </row>
    <row r="23" ht="15.75" customHeight="1">
      <c r="A23" s="18" t="s">
        <v>4084</v>
      </c>
      <c r="B23" s="18" t="s">
        <v>4083</v>
      </c>
      <c r="C23" s="18">
        <v>1.0</v>
      </c>
    </row>
    <row r="24" ht="15.75" customHeight="1">
      <c r="A24" s="17" t="s">
        <v>4084</v>
      </c>
      <c r="B24" s="17" t="s">
        <v>4103</v>
      </c>
      <c r="C24" s="17">
        <v>1.0</v>
      </c>
    </row>
    <row r="25" ht="15.75" customHeight="1">
      <c r="A25" s="18" t="s">
        <v>4063</v>
      </c>
      <c r="B25" s="18" t="s">
        <v>4080</v>
      </c>
      <c r="C25" s="18">
        <v>1.0</v>
      </c>
    </row>
    <row r="26" ht="15.75" customHeight="1">
      <c r="A26" s="17" t="s">
        <v>4063</v>
      </c>
      <c r="B26" s="17" t="s">
        <v>4074</v>
      </c>
      <c r="C26" s="17">
        <v>1.0</v>
      </c>
    </row>
    <row r="27" ht="15.75" customHeight="1">
      <c r="A27" s="18" t="s">
        <v>4063</v>
      </c>
      <c r="B27" s="18" t="s">
        <v>4075</v>
      </c>
      <c r="C27" s="18">
        <v>1.0</v>
      </c>
    </row>
    <row r="28" ht="15.75" customHeight="1">
      <c r="A28" s="17" t="s">
        <v>4063</v>
      </c>
      <c r="B28" s="17" t="s">
        <v>4073</v>
      </c>
      <c r="C28" s="17">
        <v>1.0</v>
      </c>
    </row>
    <row r="29" ht="15.75" customHeight="1">
      <c r="A29" s="18" t="s">
        <v>4063</v>
      </c>
      <c r="B29" s="18" t="s">
        <v>4086</v>
      </c>
      <c r="C29" s="18">
        <v>1.0</v>
      </c>
    </row>
    <row r="30" ht="15.75" customHeight="1">
      <c r="A30" s="17" t="s">
        <v>4063</v>
      </c>
      <c r="B30" s="17" t="s">
        <v>4094</v>
      </c>
      <c r="C30" s="17">
        <v>1.0</v>
      </c>
    </row>
    <row r="31" ht="15.75" customHeight="1">
      <c r="A31" s="18" t="s">
        <v>4063</v>
      </c>
      <c r="B31" s="18" t="s">
        <v>4124</v>
      </c>
      <c r="C31" s="18">
        <v>1.0</v>
      </c>
    </row>
    <row r="32" ht="15.75" customHeight="1">
      <c r="A32" s="17" t="s">
        <v>4063</v>
      </c>
      <c r="B32" s="17" t="s">
        <v>4077</v>
      </c>
      <c r="C32" s="17">
        <v>1.0</v>
      </c>
    </row>
    <row r="33" ht="15.75" customHeight="1">
      <c r="A33" s="18" t="s">
        <v>4072</v>
      </c>
      <c r="B33" s="18" t="s">
        <v>4095</v>
      </c>
      <c r="C33" s="18">
        <v>1.0</v>
      </c>
    </row>
    <row r="34" ht="15.75" customHeight="1">
      <c r="A34" s="17" t="s">
        <v>4072</v>
      </c>
      <c r="B34" s="17" t="s">
        <v>4074</v>
      </c>
      <c r="C34" s="17">
        <v>1.0</v>
      </c>
    </row>
    <row r="35" ht="15.75" customHeight="1">
      <c r="A35" s="18" t="s">
        <v>4074</v>
      </c>
      <c r="B35" s="18" t="s">
        <v>4083</v>
      </c>
      <c r="C35" s="18">
        <v>1.0</v>
      </c>
    </row>
    <row r="36" ht="15.75" customHeight="1">
      <c r="A36" s="17" t="s">
        <v>4074</v>
      </c>
      <c r="B36" s="17" t="s">
        <v>4094</v>
      </c>
      <c r="C36" s="17">
        <v>1.0</v>
      </c>
    </row>
    <row r="37" ht="15.75" customHeight="1">
      <c r="A37" s="18" t="s">
        <v>4074</v>
      </c>
      <c r="B37" s="18" t="s">
        <v>4087</v>
      </c>
      <c r="C37" s="18">
        <v>1.0</v>
      </c>
    </row>
    <row r="38" ht="15.75" customHeight="1">
      <c r="A38" s="17" t="s">
        <v>4088</v>
      </c>
      <c r="B38" s="17" t="s">
        <v>4122</v>
      </c>
      <c r="C38" s="17">
        <v>1.0</v>
      </c>
    </row>
    <row r="39" ht="15.75" customHeight="1">
      <c r="A39" s="18" t="s">
        <v>4088</v>
      </c>
      <c r="B39" s="18" t="s">
        <v>4102</v>
      </c>
      <c r="C39" s="18">
        <v>1.0</v>
      </c>
    </row>
    <row r="40" ht="15.75" customHeight="1">
      <c r="A40" s="17" t="s">
        <v>4083</v>
      </c>
      <c r="B40" s="17" t="s">
        <v>4095</v>
      </c>
      <c r="C40" s="17">
        <v>1.0</v>
      </c>
    </row>
    <row r="41" ht="15.75" customHeight="1">
      <c r="A41" s="18" t="s">
        <v>4083</v>
      </c>
      <c r="B41" s="18" t="s">
        <v>4091</v>
      </c>
      <c r="C41" s="18">
        <v>1.0</v>
      </c>
    </row>
    <row r="42" ht="15.75" customHeight="1">
      <c r="A42" s="17" t="s">
        <v>4083</v>
      </c>
      <c r="B42" s="17" t="s">
        <v>4094</v>
      </c>
      <c r="C42" s="17">
        <v>1.0</v>
      </c>
    </row>
    <row r="43" ht="15.75" customHeight="1">
      <c r="A43" s="18" t="s">
        <v>4090</v>
      </c>
      <c r="B43" s="18" t="s">
        <v>4122</v>
      </c>
      <c r="C43" s="18">
        <v>1.0</v>
      </c>
    </row>
    <row r="44" ht="15.75" customHeight="1">
      <c r="A44" s="17" t="s">
        <v>4075</v>
      </c>
      <c r="B44" s="17" t="s">
        <v>4598</v>
      </c>
      <c r="C44" s="17">
        <v>1.0</v>
      </c>
    </row>
    <row r="45" ht="15.75" customHeight="1">
      <c r="A45" s="18" t="s">
        <v>4075</v>
      </c>
      <c r="B45" s="18" t="s">
        <v>4122</v>
      </c>
      <c r="C45" s="18">
        <v>1.0</v>
      </c>
    </row>
    <row r="46" ht="15.75" customHeight="1">
      <c r="A46" s="17" t="s">
        <v>4075</v>
      </c>
      <c r="B46" s="17" t="s">
        <v>4088</v>
      </c>
      <c r="C46" s="17">
        <v>1.0</v>
      </c>
    </row>
    <row r="47" ht="15.75" customHeight="1">
      <c r="A47" s="18" t="s">
        <v>4075</v>
      </c>
      <c r="B47" s="18" t="s">
        <v>4124</v>
      </c>
      <c r="C47" s="18">
        <v>1.0</v>
      </c>
    </row>
    <row r="48" ht="15.75" customHeight="1">
      <c r="A48" s="17" t="s">
        <v>4075</v>
      </c>
      <c r="B48" s="17" t="s">
        <v>4085</v>
      </c>
      <c r="C48" s="17">
        <v>1.0</v>
      </c>
    </row>
    <row r="49" ht="15.75" customHeight="1">
      <c r="A49" s="18" t="s">
        <v>4075</v>
      </c>
      <c r="B49" s="18" t="s">
        <v>4102</v>
      </c>
      <c r="C49" s="18">
        <v>1.0</v>
      </c>
    </row>
    <row r="50" ht="15.75" customHeight="1">
      <c r="A50" s="17" t="s">
        <v>4060</v>
      </c>
      <c r="B50" s="17" t="s">
        <v>4124</v>
      </c>
      <c r="C50" s="17">
        <v>1.0</v>
      </c>
    </row>
    <row r="51" ht="15.75" customHeight="1">
      <c r="A51" s="18" t="s">
        <v>4060</v>
      </c>
      <c r="B51" s="18" t="s">
        <v>4071</v>
      </c>
      <c r="C51" s="18">
        <v>1.0</v>
      </c>
    </row>
    <row r="52" ht="15.75" customHeight="1">
      <c r="A52" s="17" t="s">
        <v>4067</v>
      </c>
      <c r="B52" s="17" t="s">
        <v>4599</v>
      </c>
      <c r="C52" s="17">
        <v>1.0</v>
      </c>
    </row>
    <row r="53" ht="15.75" customHeight="1">
      <c r="A53" s="18" t="s">
        <v>4067</v>
      </c>
      <c r="B53" s="18" t="s">
        <v>4075</v>
      </c>
      <c r="C53" s="18">
        <v>1.0</v>
      </c>
    </row>
    <row r="54" ht="15.75" customHeight="1">
      <c r="A54" s="17" t="s">
        <v>4067</v>
      </c>
      <c r="B54" s="17" t="s">
        <v>4094</v>
      </c>
      <c r="C54" s="17">
        <v>1.0</v>
      </c>
    </row>
    <row r="55" ht="15.75" customHeight="1">
      <c r="A55" s="18" t="s">
        <v>4067</v>
      </c>
      <c r="B55" s="18" t="s">
        <v>4085</v>
      </c>
      <c r="C55" s="18">
        <v>1.0</v>
      </c>
    </row>
    <row r="56" ht="15.75" customHeight="1">
      <c r="A56" s="17" t="s">
        <v>4067</v>
      </c>
      <c r="B56" s="17" t="s">
        <v>4087</v>
      </c>
      <c r="C56" s="17">
        <v>1.0</v>
      </c>
    </row>
    <row r="57" ht="15.75" customHeight="1">
      <c r="A57" s="18" t="s">
        <v>4061</v>
      </c>
      <c r="B57" s="18" t="s">
        <v>4075</v>
      </c>
      <c r="C57" s="18">
        <v>1.0</v>
      </c>
    </row>
    <row r="58" ht="15.75" customHeight="1">
      <c r="A58" s="17" t="s">
        <v>4061</v>
      </c>
      <c r="B58" s="17" t="s">
        <v>4600</v>
      </c>
      <c r="C58" s="17">
        <v>1.0</v>
      </c>
    </row>
    <row r="59" ht="15.75" customHeight="1">
      <c r="A59" s="18" t="s">
        <v>4061</v>
      </c>
      <c r="B59" s="18" t="s">
        <v>4071</v>
      </c>
      <c r="C59" s="18">
        <v>1.0</v>
      </c>
    </row>
    <row r="60" ht="15.75" customHeight="1">
      <c r="A60" s="17" t="s">
        <v>4079</v>
      </c>
      <c r="B60" s="17" t="s">
        <v>4076</v>
      </c>
      <c r="C60" s="17">
        <v>1.0</v>
      </c>
    </row>
    <row r="61" ht="15.75" customHeight="1">
      <c r="A61" s="18" t="s">
        <v>4079</v>
      </c>
      <c r="B61" s="18" t="s">
        <v>4087</v>
      </c>
      <c r="C61" s="18">
        <v>1.0</v>
      </c>
    </row>
    <row r="62" ht="15.75" customHeight="1">
      <c r="A62" s="17" t="s">
        <v>4079</v>
      </c>
      <c r="B62" s="17" t="s">
        <v>4125</v>
      </c>
      <c r="C62" s="17">
        <v>1.0</v>
      </c>
    </row>
    <row r="63" ht="15.75" customHeight="1">
      <c r="A63" s="18" t="s">
        <v>4062</v>
      </c>
      <c r="B63" s="18" t="s">
        <v>4598</v>
      </c>
      <c r="C63" s="18">
        <v>1.0</v>
      </c>
    </row>
    <row r="64" ht="15.75" customHeight="1">
      <c r="A64" s="17" t="s">
        <v>4062</v>
      </c>
      <c r="B64" s="17" t="s">
        <v>4067</v>
      </c>
      <c r="C64" s="17">
        <v>1.0</v>
      </c>
    </row>
    <row r="65" ht="15.75" customHeight="1">
      <c r="A65" s="18" t="s">
        <v>4062</v>
      </c>
      <c r="B65" s="18" t="s">
        <v>4124</v>
      </c>
      <c r="C65" s="18">
        <v>1.0</v>
      </c>
    </row>
    <row r="66" ht="15.75" customHeight="1">
      <c r="A66" s="17" t="s">
        <v>4062</v>
      </c>
      <c r="B66" s="17" t="s">
        <v>4085</v>
      </c>
      <c r="C66" s="17">
        <v>1.0</v>
      </c>
    </row>
    <row r="67" ht="15.75" customHeight="1">
      <c r="A67" s="18" t="s">
        <v>4062</v>
      </c>
      <c r="B67" s="18" t="s">
        <v>4087</v>
      </c>
      <c r="C67" s="18">
        <v>1.0</v>
      </c>
    </row>
    <row r="68" ht="15.75" customHeight="1">
      <c r="A68" s="17" t="s">
        <v>4062</v>
      </c>
      <c r="B68" s="17" t="s">
        <v>4064</v>
      </c>
      <c r="C68" s="17">
        <v>1.0</v>
      </c>
    </row>
    <row r="69" ht="15.75" customHeight="1">
      <c r="A69" s="18" t="s">
        <v>4086</v>
      </c>
      <c r="B69" s="18" t="s">
        <v>4601</v>
      </c>
      <c r="C69" s="18">
        <v>1.0</v>
      </c>
    </row>
    <row r="70" ht="15.75" customHeight="1">
      <c r="A70" s="17" t="s">
        <v>4094</v>
      </c>
      <c r="B70" s="17" t="s">
        <v>4101</v>
      </c>
      <c r="C70" s="17">
        <v>1.0</v>
      </c>
    </row>
    <row r="71" ht="15.75" customHeight="1">
      <c r="A71" s="18" t="s">
        <v>4113</v>
      </c>
      <c r="B71" s="18" t="s">
        <v>4095</v>
      </c>
      <c r="C71" s="18">
        <v>1.0</v>
      </c>
    </row>
    <row r="72" ht="15.75" customHeight="1">
      <c r="A72" s="17" t="s">
        <v>4070</v>
      </c>
      <c r="B72" s="17" t="s">
        <v>4123</v>
      </c>
      <c r="C72" s="17">
        <v>1.0</v>
      </c>
    </row>
    <row r="73" ht="15.75" customHeight="1">
      <c r="A73" s="18" t="s">
        <v>4066</v>
      </c>
      <c r="B73" s="18" t="s">
        <v>4069</v>
      </c>
      <c r="C73" s="18">
        <v>1.0</v>
      </c>
    </row>
    <row r="74" ht="15.75" customHeight="1">
      <c r="A74" s="17" t="s">
        <v>4066</v>
      </c>
      <c r="B74" s="17" t="s">
        <v>4599</v>
      </c>
      <c r="C74" s="17">
        <v>1.0</v>
      </c>
    </row>
    <row r="75" ht="15.75" customHeight="1">
      <c r="A75" s="18" t="s">
        <v>4066</v>
      </c>
      <c r="B75" s="18" t="s">
        <v>4067</v>
      </c>
      <c r="C75" s="18">
        <v>1.0</v>
      </c>
    </row>
    <row r="76" ht="15.75" customHeight="1">
      <c r="A76" s="17" t="s">
        <v>4085</v>
      </c>
      <c r="B76" s="17" t="s">
        <v>4102</v>
      </c>
      <c r="C76" s="17">
        <v>1.0</v>
      </c>
    </row>
    <row r="77" ht="15.75" customHeight="1">
      <c r="A77" s="18" t="s">
        <v>4082</v>
      </c>
      <c r="B77" s="18" t="s">
        <v>4078</v>
      </c>
      <c r="C77" s="18">
        <v>1.0</v>
      </c>
    </row>
    <row r="78" ht="15.75" customHeight="1">
      <c r="A78" s="17" t="s">
        <v>4076</v>
      </c>
      <c r="B78" s="17" t="s">
        <v>4095</v>
      </c>
      <c r="C78" s="17">
        <v>1.0</v>
      </c>
    </row>
    <row r="79" ht="15.75" customHeight="1">
      <c r="A79" s="18" t="s">
        <v>4076</v>
      </c>
      <c r="B79" s="18" t="s">
        <v>4083</v>
      </c>
      <c r="C79" s="18">
        <v>1.0</v>
      </c>
    </row>
    <row r="80" ht="15.75" customHeight="1">
      <c r="A80" s="17" t="s">
        <v>4076</v>
      </c>
      <c r="B80" s="17" t="s">
        <v>4086</v>
      </c>
      <c r="C80" s="17">
        <v>1.0</v>
      </c>
    </row>
    <row r="81" ht="15.75" customHeight="1">
      <c r="A81" s="18" t="s">
        <v>4076</v>
      </c>
      <c r="B81" s="18" t="s">
        <v>4094</v>
      </c>
      <c r="C81" s="18">
        <v>1.0</v>
      </c>
    </row>
    <row r="82" ht="15.75" customHeight="1">
      <c r="A82" s="17" t="s">
        <v>4076</v>
      </c>
      <c r="B82" s="17" t="s">
        <v>4077</v>
      </c>
      <c r="C82" s="17">
        <v>1.0</v>
      </c>
    </row>
    <row r="83" ht="15.75" customHeight="1">
      <c r="A83" s="18" t="s">
        <v>4076</v>
      </c>
      <c r="B83" s="18" t="s">
        <v>4125</v>
      </c>
      <c r="C83" s="18">
        <v>1.0</v>
      </c>
    </row>
    <row r="84" ht="15.75" customHeight="1">
      <c r="A84" s="17" t="s">
        <v>4077</v>
      </c>
      <c r="B84" s="17" t="s">
        <v>4095</v>
      </c>
      <c r="C84" s="17">
        <v>1.0</v>
      </c>
    </row>
    <row r="85" ht="15.75" customHeight="1">
      <c r="A85" s="18" t="s">
        <v>4077</v>
      </c>
      <c r="B85" s="18" t="s">
        <v>4087</v>
      </c>
      <c r="C85" s="18">
        <v>1.0</v>
      </c>
    </row>
    <row r="86" ht="15.75" customHeight="1">
      <c r="A86" s="17" t="s">
        <v>4087</v>
      </c>
      <c r="B86" s="17" t="s">
        <v>4094</v>
      </c>
      <c r="C86" s="17">
        <v>1.0</v>
      </c>
    </row>
    <row r="87" ht="15.75" customHeight="1">
      <c r="A87" s="18" t="s">
        <v>4071</v>
      </c>
      <c r="B87" s="18" t="s">
        <v>4124</v>
      </c>
      <c r="C87" s="18">
        <v>1.0</v>
      </c>
    </row>
    <row r="88" ht="15.75" customHeight="1">
      <c r="A88" s="17" t="s">
        <v>4102</v>
      </c>
      <c r="B88" s="17" t="s">
        <v>4122</v>
      </c>
      <c r="C88" s="17">
        <v>1.0</v>
      </c>
    </row>
    <row r="89" ht="15.75" customHeight="1">
      <c r="A89" s="18" t="s">
        <v>4064</v>
      </c>
      <c r="B89" s="18" t="s">
        <v>4602</v>
      </c>
      <c r="C89" s="18">
        <v>1.0</v>
      </c>
    </row>
    <row r="90" ht="15.75" customHeight="1">
      <c r="A90" s="17" t="s">
        <v>4064</v>
      </c>
      <c r="B90" s="17" t="s">
        <v>4069</v>
      </c>
      <c r="C90" s="17">
        <v>1.0</v>
      </c>
    </row>
    <row r="91" ht="15.75" customHeight="1">
      <c r="A91" s="18" t="s">
        <v>4064</v>
      </c>
      <c r="B91" s="18" t="s">
        <v>4074</v>
      </c>
      <c r="C91" s="18">
        <v>1.0</v>
      </c>
    </row>
    <row r="92" ht="15.75" customHeight="1">
      <c r="A92" s="17" t="s">
        <v>4064</v>
      </c>
      <c r="B92" s="17" t="s">
        <v>4083</v>
      </c>
      <c r="C92" s="17">
        <v>1.0</v>
      </c>
    </row>
    <row r="93" ht="15.75" customHeight="1">
      <c r="A93" s="18" t="s">
        <v>4064</v>
      </c>
      <c r="B93" s="18" t="s">
        <v>4103</v>
      </c>
      <c r="C93" s="18">
        <v>1.0</v>
      </c>
    </row>
    <row r="94" ht="15.75" customHeight="1">
      <c r="A94" s="17" t="s">
        <v>4064</v>
      </c>
      <c r="B94" s="17" t="s">
        <v>4067</v>
      </c>
      <c r="C94" s="17">
        <v>1.0</v>
      </c>
    </row>
    <row r="95" ht="15.75" customHeight="1">
      <c r="A95" s="18" t="s">
        <v>4064</v>
      </c>
      <c r="B95" s="18" t="s">
        <v>4079</v>
      </c>
      <c r="C95" s="18">
        <v>1.0</v>
      </c>
    </row>
    <row r="96" ht="15.75" customHeight="1">
      <c r="A96" s="17" t="s">
        <v>4064</v>
      </c>
      <c r="B96" s="17" t="s">
        <v>4081</v>
      </c>
      <c r="C96" s="17">
        <v>1.0</v>
      </c>
    </row>
    <row r="97" ht="15.75" customHeight="1">
      <c r="A97" s="18" t="s">
        <v>4064</v>
      </c>
      <c r="B97" s="18" t="s">
        <v>4094</v>
      </c>
      <c r="C97" s="18">
        <v>1.0</v>
      </c>
    </row>
    <row r="98" ht="15.75" customHeight="1">
      <c r="A98" s="17" t="s">
        <v>4064</v>
      </c>
      <c r="B98" s="17" t="s">
        <v>4601</v>
      </c>
      <c r="C98" s="17">
        <v>1.0</v>
      </c>
    </row>
    <row r="99" ht="15.75" customHeight="1">
      <c r="A99" s="18" t="s">
        <v>4064</v>
      </c>
      <c r="B99" s="18" t="s">
        <v>4124</v>
      </c>
      <c r="C99" s="18">
        <v>1.0</v>
      </c>
    </row>
    <row r="100" ht="15.75" customHeight="1">
      <c r="A100" s="17" t="s">
        <v>4064</v>
      </c>
      <c r="B100" s="17" t="s">
        <v>4087</v>
      </c>
      <c r="C100" s="17">
        <v>1.0</v>
      </c>
    </row>
    <row r="101" ht="15.75" customHeight="1">
      <c r="A101" s="18" t="s">
        <v>4064</v>
      </c>
      <c r="B101" s="18" t="s">
        <v>4125</v>
      </c>
      <c r="C101" s="18">
        <v>1.0</v>
      </c>
    </row>
    <row r="102" ht="15.75" customHeight="1">
      <c r="A102" s="17" t="s">
        <v>4065</v>
      </c>
      <c r="B102" s="17" t="s">
        <v>4080</v>
      </c>
      <c r="C102" s="17">
        <v>1.0</v>
      </c>
    </row>
    <row r="103" ht="15.75" customHeight="1">
      <c r="A103" s="18" t="s">
        <v>4065</v>
      </c>
      <c r="B103" s="18" t="s">
        <v>4084</v>
      </c>
      <c r="C103" s="18">
        <v>1.0</v>
      </c>
    </row>
    <row r="104" ht="15.75" customHeight="1">
      <c r="A104" s="17" t="s">
        <v>4065</v>
      </c>
      <c r="B104" s="17" t="s">
        <v>4123</v>
      </c>
      <c r="C104" s="17">
        <v>1.0</v>
      </c>
    </row>
    <row r="105" ht="15.75" customHeight="1">
      <c r="A105" s="18" t="s">
        <v>4065</v>
      </c>
      <c r="B105" s="18" t="s">
        <v>4083</v>
      </c>
      <c r="C105" s="18">
        <v>1.0</v>
      </c>
    </row>
    <row r="106" ht="15.75" customHeight="1">
      <c r="A106" s="17" t="s">
        <v>4065</v>
      </c>
      <c r="B106" s="17" t="s">
        <v>4091</v>
      </c>
      <c r="C106" s="17">
        <v>1.0</v>
      </c>
    </row>
    <row r="107" ht="15.75" customHeight="1">
      <c r="A107" s="18" t="s">
        <v>4065</v>
      </c>
      <c r="B107" s="18" t="s">
        <v>4094</v>
      </c>
      <c r="C107" s="18">
        <v>1.0</v>
      </c>
    </row>
    <row r="108" ht="15.75" customHeight="1">
      <c r="A108" s="17" t="s">
        <v>4065</v>
      </c>
      <c r="B108" s="17" t="s">
        <v>4076</v>
      </c>
      <c r="C108" s="17">
        <v>1.0</v>
      </c>
    </row>
    <row r="109" ht="15.75" customHeight="1">
      <c r="A109" s="18" t="s">
        <v>4065</v>
      </c>
      <c r="B109" s="18" t="s">
        <v>4077</v>
      </c>
      <c r="C109" s="18">
        <v>1.0</v>
      </c>
    </row>
    <row r="110" ht="15.75" customHeight="1">
      <c r="A110" s="17" t="s">
        <v>4065</v>
      </c>
      <c r="B110" s="17" t="s">
        <v>4071</v>
      </c>
      <c r="C110" s="17">
        <v>1.0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10">
    <sortState ref="A1:Z110">
      <sortCondition descending="1" ref="C1:C110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2024-12-18T15:21:43Z</dcterms:created>
  <dc:creator>r531945</dc:creator>
</cp:coreProperties>
</file>